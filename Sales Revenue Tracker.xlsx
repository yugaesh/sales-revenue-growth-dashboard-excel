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35f8de44282b7fb6/Desktop/New folder/EXCEL/Sales/"/>
    </mc:Choice>
  </mc:AlternateContent>
  <xr:revisionPtr revIDLastSave="955" documentId="8_{F647F157-6B27-4E59-9679-55E9B09F9E47}" xr6:coauthVersionLast="47" xr6:coauthVersionMax="47" xr10:uidLastSave="{EBEBD607-60CB-4D8C-BE1B-FA03001082A5}"/>
  <bookViews>
    <workbookView xWindow="-108" yWindow="-108" windowWidth="23256" windowHeight="13896" activeTab="5" xr2:uid="{03F0C4E7-6688-4AE1-876D-0F5559F3DC4B}"/>
  </bookViews>
  <sheets>
    <sheet name="Raw Data" sheetId="1" r:id="rId1"/>
    <sheet name="Cleaned Data" sheetId="3" r:id="rId2"/>
    <sheet name="Sales Calculations" sheetId="2" r:id="rId3"/>
    <sheet name="KPI Summary" sheetId="4" r:id="rId4"/>
    <sheet name="Pivot" sheetId="5" r:id="rId5"/>
    <sheet name="Dashboard" sheetId="6" r:id="rId6"/>
  </sheets>
  <definedNames>
    <definedName name="NativeTimeline_Date">#N/A</definedName>
    <definedName name="Slicer_Category">#N/A</definedName>
    <definedName name="Slicer_Channel">#N/A</definedName>
    <definedName name="Slicer_Month">#N/A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4" l="1"/>
  <c r="B8" i="4"/>
  <c r="B5" i="4"/>
  <c r="B4" i="4"/>
  <c r="B3" i="4"/>
  <c r="B2" i="4"/>
  <c r="B6" i="4" s="1"/>
  <c r="E4" i="3"/>
  <c r="E3" i="3"/>
  <c r="E2" i="3"/>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B7" i="4" s="1"/>
  <c r="E3" i="1"/>
  <c r="E4" i="1"/>
  <c r="E2" i="1"/>
</calcChain>
</file>

<file path=xl/sharedStrings.xml><?xml version="1.0" encoding="utf-8"?>
<sst xmlns="http://schemas.openxmlformats.org/spreadsheetml/2006/main" count="2503" uniqueCount="81">
  <si>
    <t>Date</t>
  </si>
  <si>
    <t>Month</t>
  </si>
  <si>
    <t>Region</t>
  </si>
  <si>
    <t>City</t>
  </si>
  <si>
    <t>Executive</t>
  </si>
  <si>
    <t>Category</t>
  </si>
  <si>
    <t>Product</t>
  </si>
  <si>
    <t>Units</t>
  </si>
  <si>
    <t>Price</t>
  </si>
  <si>
    <t>Revenue</t>
  </si>
  <si>
    <t>Cost</t>
  </si>
  <si>
    <t>Profit</t>
  </si>
  <si>
    <t>Customer Type</t>
  </si>
  <si>
    <t>Channel</t>
  </si>
  <si>
    <t>Target</t>
  </si>
  <si>
    <t>Achievement %</t>
  </si>
  <si>
    <t>Growth %</t>
  </si>
  <si>
    <t xml:space="preserve"> Jan </t>
  </si>
  <si>
    <t xml:space="preserve"> South </t>
  </si>
  <si>
    <t xml:space="preserve"> Chennai </t>
  </si>
  <si>
    <t xml:space="preserve"> Electronics </t>
  </si>
  <si>
    <t xml:space="preserve"> Laptop </t>
  </si>
  <si>
    <t xml:space="preserve"> New </t>
  </si>
  <si>
    <t xml:space="preserve"> Online </t>
  </si>
  <si>
    <t xml:space="preserve"> -</t>
  </si>
  <si>
    <t xml:space="preserve"> West </t>
  </si>
  <si>
    <t xml:space="preserve"> Mumbai </t>
  </si>
  <si>
    <t xml:space="preserve"> Clothing </t>
  </si>
  <si>
    <t xml:space="preserve"> Shirt </t>
  </si>
  <si>
    <t xml:space="preserve"> Existing </t>
  </si>
  <si>
    <t xml:space="preserve"> Offline </t>
  </si>
  <si>
    <t xml:space="preserve"> North </t>
  </si>
  <si>
    <t xml:space="preserve"> Delhi </t>
  </si>
  <si>
    <t xml:space="preserve"> Mobile </t>
  </si>
  <si>
    <t>Laptop</t>
  </si>
  <si>
    <t>Electronics</t>
  </si>
  <si>
    <t>Mobile</t>
  </si>
  <si>
    <t>Tablet</t>
  </si>
  <si>
    <t>Shirt</t>
  </si>
  <si>
    <t>Clothing</t>
  </si>
  <si>
    <t>Table</t>
  </si>
  <si>
    <t>Furniture</t>
  </si>
  <si>
    <t>Jan</t>
  </si>
  <si>
    <t>South</t>
  </si>
  <si>
    <t>Chennai</t>
  </si>
  <si>
    <t>Ravi</t>
  </si>
  <si>
    <t>Existing</t>
  </si>
  <si>
    <t>Offline</t>
  </si>
  <si>
    <t>East</t>
  </si>
  <si>
    <t>Mumbai</t>
  </si>
  <si>
    <t>Priya</t>
  </si>
  <si>
    <t>New</t>
  </si>
  <si>
    <t>Online</t>
  </si>
  <si>
    <t>West</t>
  </si>
  <si>
    <t>Delhi</t>
  </si>
  <si>
    <t>Aman</t>
  </si>
  <si>
    <t>North</t>
  </si>
  <si>
    <t>Kolkata</t>
  </si>
  <si>
    <t>Sneha</t>
  </si>
  <si>
    <t>Bangalore</t>
  </si>
  <si>
    <t>Rahul</t>
  </si>
  <si>
    <t>Feb</t>
  </si>
  <si>
    <t>Mar</t>
  </si>
  <si>
    <t>Apr</t>
  </si>
  <si>
    <t>Total Revenue</t>
  </si>
  <si>
    <t>Total Profit</t>
  </si>
  <si>
    <t>Total Units Sold</t>
  </si>
  <si>
    <t>Total Target</t>
  </si>
  <si>
    <t>Top Region</t>
  </si>
  <si>
    <t>Top Product</t>
  </si>
  <si>
    <t>KPI</t>
  </si>
  <si>
    <t>Value</t>
  </si>
  <si>
    <t>Row Labels</t>
  </si>
  <si>
    <t>Grand Total</t>
  </si>
  <si>
    <t>Sum of Revenue</t>
  </si>
  <si>
    <t>23,420.3K</t>
  </si>
  <si>
    <t>4,698.1K</t>
  </si>
  <si>
    <t>1,130</t>
  </si>
  <si>
    <t>26,052.2K</t>
  </si>
  <si>
    <t>90%</t>
  </si>
  <si>
    <t>252.73%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</si>
</sst>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sz val="15"/>
      <color theme="1"/>
      <name val="Calibri"/>
      <family val="2"/>
    </font>
  </fonts>
  <fills count="2">
    <fill>
      <patternFill patternType="none"/>
    </fill>
    <fill>
      <patternFill patternType="gray125"/>
    </fill>
  </fills>
  <borders count="8">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2" fillId="0" borderId="0" xfId="0" applyFont="1" applyAlignment="1">
      <alignment horizontal="center" vertical="center" wrapText="1"/>
    </xf>
    <xf numFmtId="14" fontId="0" fillId="0" borderId="0" xfId="0" applyNumberFormat="1"/>
    <xf numFmtId="9" fontId="0" fillId="0" borderId="0" xfId="0" applyNumberFormat="1"/>
    <xf numFmtId="1" fontId="0" fillId="0" borderId="0" xfId="0" applyNumberFormat="1"/>
    <xf numFmtId="9" fontId="0" fillId="0" borderId="0" xfId="1" applyFont="1"/>
    <xf numFmtId="0" fontId="4" fillId="0" borderId="1" xfId="0" applyFont="1" applyBorder="1"/>
    <xf numFmtId="0" fontId="4" fillId="0" borderId="3" xfId="0" applyFont="1" applyBorder="1"/>
    <xf numFmtId="0" fontId="4" fillId="0" borderId="5" xfId="0" applyFont="1" applyBorder="1"/>
    <xf numFmtId="0" fontId="4" fillId="0" borderId="4" xfId="0" applyFont="1" applyBorder="1" applyAlignment="1">
      <alignment horizontal="center"/>
    </xf>
    <xf numFmtId="164" fontId="4" fillId="0" borderId="2" xfId="0" applyNumberFormat="1" applyFont="1" applyBorder="1" applyAlignment="1">
      <alignment horizontal="center"/>
    </xf>
    <xf numFmtId="1" fontId="4" fillId="0" borderId="2" xfId="0" applyNumberFormat="1" applyFont="1" applyBorder="1" applyAlignment="1">
      <alignment horizontal="center"/>
    </xf>
    <xf numFmtId="9" fontId="4" fillId="0" borderId="2" xfId="1" applyFont="1" applyBorder="1" applyAlignment="1">
      <alignment horizontal="center"/>
    </xf>
    <xf numFmtId="0" fontId="4" fillId="0" borderId="2" xfId="0" applyFont="1" applyBorder="1" applyAlignment="1">
      <alignment horizontal="center"/>
    </xf>
    <xf numFmtId="0" fontId="4" fillId="0" borderId="6" xfId="0" applyFont="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7" xfId="0" applyBorder="1"/>
  </cellXfs>
  <cellStyles count="2">
    <cellStyle name="Normal" xfId="0" builtinId="0"/>
    <cellStyle name="Percent" xfId="1" builtinId="5"/>
  </cellStyles>
  <dxfs count="31">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alignment horizontal="center" vertical="bottom" textRotation="0" wrapText="0" indent="0" justifyLastLine="0" shrinkToFit="0" readingOrder="0"/>
    </dxf>
    <dxf>
      <font>
        <b val="0"/>
        <i val="0"/>
        <strike val="0"/>
        <condense val="0"/>
        <extend val="0"/>
        <outline val="0"/>
        <shadow val="0"/>
        <u val="none"/>
        <vertAlign val="baseline"/>
        <sz val="15"/>
        <color theme="1"/>
        <name val="Calibri"/>
        <family val="2"/>
        <scheme val="none"/>
      </font>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5"/>
        <color theme="1"/>
        <name val="Calibri"/>
        <family val="2"/>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9" formatCode="dd/mm/yyyy"/>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dxf>
    <dxf>
      <numFmt numFmtId="13" formatCode="0%"/>
    </dxf>
    <dxf>
      <numFmt numFmtId="1" formatCode="0"/>
    </dxf>
    <dxf>
      <numFmt numFmtId="1" formatCode="0"/>
    </dxf>
    <dxf>
      <numFmt numFmtId="1" formatCode="0"/>
    </dxf>
    <dxf>
      <numFmt numFmtId="19" formatCode="dd/mm/yyyy"/>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 Tracker.xlsx]Pivot!PivotTable1</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2.2222222222222223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5.5555555555554534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8.333333333333230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111111111111108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1111111111111086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2222222222222223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5.5555555555554534E-3"/>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8.3333333333332309E-3"/>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accent1"/>
          </a:solidFill>
          <a:ln>
            <a:noFill/>
          </a:ln>
          <a:effectLst/>
          <a:sp3d/>
        </c:spPr>
      </c:pivotFmt>
      <c:pivotFmt>
        <c:idx val="14"/>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754B-426B-BA92-4F8D01AEBD43}"/>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3-754B-426B-BA92-4F8D01AEBD43}"/>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5-754B-426B-BA92-4F8D01AEBD43}"/>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7-754B-426B-BA92-4F8D01AEBD43}"/>
              </c:ext>
            </c:extLst>
          </c:dPt>
          <c:cat>
            <c:strRef>
              <c:f>Pivot!$A$4:$A$8</c:f>
              <c:strCache>
                <c:ptCount val="4"/>
                <c:pt idx="0">
                  <c:v>East</c:v>
                </c:pt>
                <c:pt idx="1">
                  <c:v>North</c:v>
                </c:pt>
                <c:pt idx="2">
                  <c:v>South</c:v>
                </c:pt>
                <c:pt idx="3">
                  <c:v>West</c:v>
                </c:pt>
              </c:strCache>
            </c:strRef>
          </c:cat>
          <c:val>
            <c:numRef>
              <c:f>Pivot!$B$4:$B$8</c:f>
              <c:numCache>
                <c:formatCode>0</c:formatCode>
                <c:ptCount val="4"/>
                <c:pt idx="0">
                  <c:v>5256970</c:v>
                </c:pt>
                <c:pt idx="1">
                  <c:v>7048982</c:v>
                </c:pt>
                <c:pt idx="2">
                  <c:v>5784984</c:v>
                </c:pt>
                <c:pt idx="3">
                  <c:v>5329349</c:v>
                </c:pt>
              </c:numCache>
            </c:numRef>
          </c:val>
          <c:extLst>
            <c:ext xmlns:c16="http://schemas.microsoft.com/office/drawing/2014/chart" uri="{C3380CC4-5D6E-409C-BE32-E72D297353CC}">
              <c16:uniqueId val="{00000008-754B-426B-BA92-4F8D01AEBD43}"/>
            </c:ext>
          </c:extLst>
        </c:ser>
        <c:dLbls>
          <c:showLegendKey val="0"/>
          <c:showVal val="0"/>
          <c:showCatName val="0"/>
          <c:showSerName val="0"/>
          <c:showPercent val="0"/>
          <c:showBubbleSize val="0"/>
        </c:dLbls>
        <c:gapWidth val="150"/>
        <c:shape val="box"/>
        <c:axId val="1634003311"/>
        <c:axId val="1881529087"/>
        <c:axId val="0"/>
      </c:bar3DChart>
      <c:catAx>
        <c:axId val="16340033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29087"/>
        <c:crosses val="autoZero"/>
        <c:auto val="1"/>
        <c:lblAlgn val="ctr"/>
        <c:lblOffset val="100"/>
        <c:noMultiLvlLbl val="0"/>
      </c:catAx>
      <c:valAx>
        <c:axId val="1881529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00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 Tracker.xlsx]Pivot!PivotTable2</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Pivot!$A$11:$A$14</c:f>
              <c:strCache>
                <c:ptCount val="3"/>
                <c:pt idx="0">
                  <c:v>Clothing</c:v>
                </c:pt>
                <c:pt idx="1">
                  <c:v>Electronics</c:v>
                </c:pt>
                <c:pt idx="2">
                  <c:v>Furniture</c:v>
                </c:pt>
              </c:strCache>
            </c:strRef>
          </c:cat>
          <c:val>
            <c:numRef>
              <c:f>Pivot!$B$11:$B$14</c:f>
              <c:numCache>
                <c:formatCode>0</c:formatCode>
                <c:ptCount val="3"/>
                <c:pt idx="0">
                  <c:v>4877818</c:v>
                </c:pt>
                <c:pt idx="1">
                  <c:v>14279198</c:v>
                </c:pt>
                <c:pt idx="2">
                  <c:v>4263269</c:v>
                </c:pt>
              </c:numCache>
            </c:numRef>
          </c:val>
          <c:extLst>
            <c:ext xmlns:c16="http://schemas.microsoft.com/office/drawing/2014/chart" uri="{C3380CC4-5D6E-409C-BE32-E72D297353CC}">
              <c16:uniqueId val="{00000000-ED46-4AB4-BAEA-88BBBB12CDD5}"/>
            </c:ext>
          </c:extLst>
        </c:ser>
        <c:dLbls>
          <c:showLegendKey val="0"/>
          <c:showVal val="1"/>
          <c:showCatName val="0"/>
          <c:showSerName val="0"/>
          <c:showPercent val="0"/>
          <c:showBubbleSize val="0"/>
        </c:dLbls>
        <c:gapWidth val="150"/>
        <c:shape val="box"/>
        <c:axId val="1894138383"/>
        <c:axId val="1894139343"/>
        <c:axId val="0"/>
      </c:bar3DChart>
      <c:catAx>
        <c:axId val="1894138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4139343"/>
        <c:crosses val="autoZero"/>
        <c:auto val="1"/>
        <c:lblAlgn val="ctr"/>
        <c:lblOffset val="100"/>
        <c:noMultiLvlLbl val="0"/>
      </c:catAx>
      <c:valAx>
        <c:axId val="1894139343"/>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413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 Tracker.xlsx]Pivot!PivotTable4</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Pivot!$D$4:$D$8</c:f>
              <c:strCache>
                <c:ptCount val="4"/>
                <c:pt idx="0">
                  <c:v>Jan</c:v>
                </c:pt>
                <c:pt idx="1">
                  <c:v>Feb</c:v>
                </c:pt>
                <c:pt idx="2">
                  <c:v>Mar</c:v>
                </c:pt>
                <c:pt idx="3">
                  <c:v>Apr</c:v>
                </c:pt>
              </c:strCache>
            </c:strRef>
          </c:cat>
          <c:val>
            <c:numRef>
              <c:f>Pivot!$E$4:$E$8</c:f>
              <c:numCache>
                <c:formatCode>0</c:formatCode>
                <c:ptCount val="4"/>
                <c:pt idx="0">
                  <c:v>6989569</c:v>
                </c:pt>
                <c:pt idx="1">
                  <c:v>6541397</c:v>
                </c:pt>
                <c:pt idx="2">
                  <c:v>7740093</c:v>
                </c:pt>
                <c:pt idx="3">
                  <c:v>2149226</c:v>
                </c:pt>
              </c:numCache>
            </c:numRef>
          </c:val>
          <c:smooth val="0"/>
          <c:extLst>
            <c:ext xmlns:c16="http://schemas.microsoft.com/office/drawing/2014/chart" uri="{C3380CC4-5D6E-409C-BE32-E72D297353CC}">
              <c16:uniqueId val="{00000000-F2CA-4CDD-87C4-1E811F2EB226}"/>
            </c:ext>
          </c:extLst>
        </c:ser>
        <c:dLbls>
          <c:showLegendKey val="0"/>
          <c:showVal val="0"/>
          <c:showCatName val="0"/>
          <c:showSerName val="0"/>
          <c:showPercent val="0"/>
          <c:showBubbleSize val="0"/>
        </c:dLbls>
        <c:marker val="1"/>
        <c:smooth val="0"/>
        <c:axId val="60667839"/>
        <c:axId val="60663039"/>
      </c:lineChart>
      <c:catAx>
        <c:axId val="60667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3039"/>
        <c:crosses val="autoZero"/>
        <c:auto val="1"/>
        <c:lblAlgn val="ctr"/>
        <c:lblOffset val="100"/>
        <c:noMultiLvlLbl val="0"/>
      </c:catAx>
      <c:valAx>
        <c:axId val="60663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67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Revenue Tracker.xlsx]Pivot!PivotTable5</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8.333333333333332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333333333333332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333333333333329E-2"/>
              <c:y val="-3.240740740740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7777777777777779E-2"/>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3727141250200859"/>
          <c:y val="8.8598217985909666E-2"/>
          <c:w val="0.33225989608441803"/>
          <c:h val="0.71406732053230193"/>
        </c:manualLayout>
      </c:layout>
      <c:doughnutChart>
        <c:varyColors val="1"/>
        <c:ser>
          <c:idx val="0"/>
          <c:order val="0"/>
          <c:tx>
            <c:strRef>
              <c:f>Pivot!$E$10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0E-4BB0-8DE7-363462C310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0E-4BB0-8DE7-363462C31007}"/>
              </c:ext>
            </c:extLst>
          </c:dPt>
          <c:dLbls>
            <c:dLbl>
              <c:idx val="0"/>
              <c:layout>
                <c:manualLayout>
                  <c:x val="8.3333333333333329E-2"/>
                  <c:y val="-3.240740740740748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D0E-4BB0-8DE7-363462C31007}"/>
                </c:ext>
              </c:extLst>
            </c:dLbl>
            <c:dLbl>
              <c:idx val="1"/>
              <c:layout>
                <c:manualLayout>
                  <c:x val="-7.7777777777777779E-2"/>
                  <c:y val="-1.388888888888888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D0E-4BB0-8DE7-363462C310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Pivot!$D$11:$D$13</c:f>
              <c:strCache>
                <c:ptCount val="2"/>
                <c:pt idx="0">
                  <c:v>Offline</c:v>
                </c:pt>
                <c:pt idx="1">
                  <c:v>Online</c:v>
                </c:pt>
              </c:strCache>
            </c:strRef>
          </c:cat>
          <c:val>
            <c:numRef>
              <c:f>Pivot!$E$11:$E$13</c:f>
              <c:numCache>
                <c:formatCode>0%</c:formatCode>
                <c:ptCount val="2"/>
                <c:pt idx="0">
                  <c:v>0.46388560173371074</c:v>
                </c:pt>
                <c:pt idx="1">
                  <c:v>0.53611439826628926</c:v>
                </c:pt>
              </c:numCache>
            </c:numRef>
          </c:val>
          <c:extLst>
            <c:ext xmlns:c16="http://schemas.microsoft.com/office/drawing/2014/chart" uri="{C3380CC4-5D6E-409C-BE32-E72D297353CC}">
              <c16:uniqueId val="{00000004-BD0E-4BB0-8DE7-363462C3100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205740</xdr:colOff>
      <xdr:row>33</xdr:row>
      <xdr:rowOff>68580</xdr:rowOff>
    </xdr:to>
    <xdr:sp macro="" textlink="">
      <xdr:nvSpPr>
        <xdr:cNvPr id="3" name="Rectangle 2">
          <a:extLst>
            <a:ext uri="{FF2B5EF4-FFF2-40B4-BE49-F238E27FC236}">
              <a16:creationId xmlns:a16="http://schemas.microsoft.com/office/drawing/2014/main" id="{E86CB93E-3FAB-4B38-88BE-CD6F785A6A28}"/>
            </a:ext>
          </a:extLst>
        </xdr:cNvPr>
        <xdr:cNvSpPr/>
      </xdr:nvSpPr>
      <xdr:spPr>
        <a:xfrm>
          <a:off x="0" y="0"/>
          <a:ext cx="13007340" cy="6103620"/>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220980</xdr:colOff>
      <xdr:row>0</xdr:row>
      <xdr:rowOff>68580</xdr:rowOff>
    </xdr:from>
    <xdr:to>
      <xdr:col>9</xdr:col>
      <xdr:colOff>76200</xdr:colOff>
      <xdr:row>5</xdr:row>
      <xdr:rowOff>83820</xdr:rowOff>
    </xdr:to>
    <xdr:grpSp>
      <xdr:nvGrpSpPr>
        <xdr:cNvPr id="49" name="Group 48">
          <a:extLst>
            <a:ext uri="{FF2B5EF4-FFF2-40B4-BE49-F238E27FC236}">
              <a16:creationId xmlns:a16="http://schemas.microsoft.com/office/drawing/2014/main" id="{D8348599-5D7A-2547-3451-8F568378C2D2}"/>
            </a:ext>
          </a:extLst>
        </xdr:cNvPr>
        <xdr:cNvGrpSpPr/>
      </xdr:nvGrpSpPr>
      <xdr:grpSpPr>
        <a:xfrm>
          <a:off x="3268980" y="68580"/>
          <a:ext cx="2293620" cy="929640"/>
          <a:chOff x="3787140" y="739140"/>
          <a:chExt cx="2125980" cy="883920"/>
        </a:xfrm>
      </xdr:grpSpPr>
      <xdr:sp macro="" textlink="">
        <xdr:nvSpPr>
          <xdr:cNvPr id="2" name="Rectangle: Rounded Corners 1">
            <a:extLst>
              <a:ext uri="{FF2B5EF4-FFF2-40B4-BE49-F238E27FC236}">
                <a16:creationId xmlns:a16="http://schemas.microsoft.com/office/drawing/2014/main" id="{7D35B563-5521-57D6-3CC3-92B3511E0BB1}"/>
              </a:ext>
            </a:extLst>
          </xdr:cNvPr>
          <xdr:cNvSpPr/>
        </xdr:nvSpPr>
        <xdr:spPr>
          <a:xfrm>
            <a:off x="3787140" y="739140"/>
            <a:ext cx="2125980" cy="883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ysClr val="windowText" lastClr="000000"/>
              </a:solidFill>
            </a:endParaRPr>
          </a:p>
        </xdr:txBody>
      </xdr:sp>
      <xdr:pic>
        <xdr:nvPicPr>
          <xdr:cNvPr id="8" name="Graphic 7" descr="Upward trend with solid fill">
            <a:extLst>
              <a:ext uri="{FF2B5EF4-FFF2-40B4-BE49-F238E27FC236}">
                <a16:creationId xmlns:a16="http://schemas.microsoft.com/office/drawing/2014/main" id="{73E35C4A-1CD5-B40D-AAB7-7D93BA33B1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03520" y="960120"/>
            <a:ext cx="518160" cy="518160"/>
          </a:xfrm>
          <a:prstGeom prst="rect">
            <a:avLst/>
          </a:prstGeom>
        </xdr:spPr>
      </xdr:pic>
      <xdr:sp macro="" textlink="">
        <xdr:nvSpPr>
          <xdr:cNvPr id="9" name="TextBox 8">
            <a:extLst>
              <a:ext uri="{FF2B5EF4-FFF2-40B4-BE49-F238E27FC236}">
                <a16:creationId xmlns:a16="http://schemas.microsoft.com/office/drawing/2014/main" id="{1416E409-7443-E0C8-59EE-E2DFB990CBEE}"/>
              </a:ext>
            </a:extLst>
          </xdr:cNvPr>
          <xdr:cNvSpPr txBox="1"/>
        </xdr:nvSpPr>
        <xdr:spPr>
          <a:xfrm>
            <a:off x="3832860" y="838200"/>
            <a:ext cx="1485900" cy="29718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Total</a:t>
            </a:r>
            <a:r>
              <a:rPr lang="en-IN" sz="1800" b="1">
                <a:solidFill>
                  <a:schemeClr val="dk1"/>
                </a:solidFill>
                <a:effectLst/>
                <a:latin typeface="Calibri" panose="020F0502020204030204" pitchFamily="34" charset="0"/>
                <a:ea typeface="Calibri" panose="020F0502020204030204" pitchFamily="34" charset="0"/>
                <a:cs typeface="Calibri" panose="020F0502020204030204" pitchFamily="34" charset="0"/>
              </a:rPr>
              <a:t> </a:t>
            </a:r>
            <a:r>
              <a:rPr lang="en-IN" sz="16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Revenue</a:t>
            </a:r>
          </a:p>
          <a:p>
            <a:endParaRPr lang="en-IN" sz="1800">
              <a:latin typeface="Calibri" panose="020F0502020204030204" pitchFamily="34" charset="0"/>
              <a:ea typeface="Calibri" panose="020F0502020204030204" pitchFamily="34" charset="0"/>
              <a:cs typeface="Calibri" panose="020F0502020204030204" pitchFamily="34" charset="0"/>
            </a:endParaRPr>
          </a:p>
        </xdr:txBody>
      </xdr:sp>
      <xdr:sp macro="" textlink="Pivot!E16">
        <xdr:nvSpPr>
          <xdr:cNvPr id="10" name="TextBox 9">
            <a:extLst>
              <a:ext uri="{FF2B5EF4-FFF2-40B4-BE49-F238E27FC236}">
                <a16:creationId xmlns:a16="http://schemas.microsoft.com/office/drawing/2014/main" id="{DB02FC35-C790-4749-A2C8-45CA81738846}"/>
              </a:ext>
            </a:extLst>
          </xdr:cNvPr>
          <xdr:cNvSpPr txBox="1"/>
        </xdr:nvSpPr>
        <xdr:spPr>
          <a:xfrm>
            <a:off x="3832860" y="1158240"/>
            <a:ext cx="1508760" cy="388620"/>
          </a:xfrm>
          <a:prstGeom prst="rect">
            <a:avLst/>
          </a:prstGeom>
          <a:noFill/>
          <a:ln w="9525" cmpd="sng">
            <a:solidFill>
              <a:schemeClr val="bg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fld id="{8A6E37B8-36A6-425B-86C9-3C70D3F035D7}" type="TxLink">
              <a:rPr lang="en-US" sz="24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latin typeface="Aptos Narrow"/>
              </a:rPr>
              <a:pPr marL="0" marR="0" lvl="0" indent="0" defTabSz="914400" eaLnBrk="1" fontAlgn="auto" latinLnBrk="0" hangingPunct="1">
                <a:lnSpc>
                  <a:spcPct val="100000"/>
                </a:lnSpc>
                <a:spcBef>
                  <a:spcPts val="0"/>
                </a:spcBef>
                <a:spcAft>
                  <a:spcPts val="0"/>
                </a:spcAft>
                <a:buClrTx/>
                <a:buSzTx/>
                <a:buFontTx/>
                <a:buNone/>
                <a:tabLst/>
                <a:defRPr/>
              </a:pPr>
              <a:t>23,420.3K</a:t>
            </a:fld>
            <a:endParaRPr lang="en-IN" sz="2400" b="1">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endParaRPr>
          </a:p>
        </xdr:txBody>
      </xdr:sp>
    </xdr:grpSp>
    <xdr:clientData/>
  </xdr:twoCellAnchor>
  <xdr:twoCellAnchor>
    <xdr:from>
      <xdr:col>9</xdr:col>
      <xdr:colOff>147320</xdr:colOff>
      <xdr:row>0</xdr:row>
      <xdr:rowOff>76200</xdr:rowOff>
    </xdr:from>
    <xdr:to>
      <xdr:col>13</xdr:col>
      <xdr:colOff>2540</xdr:colOff>
      <xdr:row>5</xdr:row>
      <xdr:rowOff>91440</xdr:rowOff>
    </xdr:to>
    <xdr:grpSp>
      <xdr:nvGrpSpPr>
        <xdr:cNvPr id="16" name="Group 15">
          <a:extLst>
            <a:ext uri="{FF2B5EF4-FFF2-40B4-BE49-F238E27FC236}">
              <a16:creationId xmlns:a16="http://schemas.microsoft.com/office/drawing/2014/main" id="{89C331AA-19BB-5F4F-1CDE-0C0A31BC8B6B}"/>
            </a:ext>
          </a:extLst>
        </xdr:cNvPr>
        <xdr:cNvGrpSpPr/>
      </xdr:nvGrpSpPr>
      <xdr:grpSpPr>
        <a:xfrm>
          <a:off x="5633720" y="76200"/>
          <a:ext cx="2293620" cy="929640"/>
          <a:chOff x="2286000" y="2552700"/>
          <a:chExt cx="2125980" cy="883920"/>
        </a:xfrm>
      </xdr:grpSpPr>
      <xdr:sp macro="" textlink="">
        <xdr:nvSpPr>
          <xdr:cNvPr id="11" name="Rectangle: Rounded Corners 10">
            <a:extLst>
              <a:ext uri="{FF2B5EF4-FFF2-40B4-BE49-F238E27FC236}">
                <a16:creationId xmlns:a16="http://schemas.microsoft.com/office/drawing/2014/main" id="{13A83A8C-5613-4B3A-9EF6-0F363E059C44}"/>
              </a:ext>
            </a:extLst>
          </xdr:cNvPr>
          <xdr:cNvSpPr/>
        </xdr:nvSpPr>
        <xdr:spPr>
          <a:xfrm>
            <a:off x="2286000" y="2552700"/>
            <a:ext cx="2125980" cy="883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ysClr val="windowText" lastClr="000000"/>
              </a:solidFill>
            </a:endParaRPr>
          </a:p>
        </xdr:txBody>
      </xdr:sp>
      <xdr:sp macro="" textlink="">
        <xdr:nvSpPr>
          <xdr:cNvPr id="12" name="TextBox 11">
            <a:extLst>
              <a:ext uri="{FF2B5EF4-FFF2-40B4-BE49-F238E27FC236}">
                <a16:creationId xmlns:a16="http://schemas.microsoft.com/office/drawing/2014/main" id="{C3DD517A-C711-4820-8788-A7E3F2E7439B}"/>
              </a:ext>
            </a:extLst>
          </xdr:cNvPr>
          <xdr:cNvSpPr txBox="1"/>
        </xdr:nvSpPr>
        <xdr:spPr>
          <a:xfrm>
            <a:off x="2331720" y="2674620"/>
            <a:ext cx="1485900" cy="29718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Total</a:t>
            </a:r>
            <a:r>
              <a:rPr lang="en-IN" sz="1600" b="1">
                <a:solidFill>
                  <a:schemeClr val="dk1"/>
                </a:solidFill>
                <a:effectLst/>
                <a:latin typeface="+mn-lt"/>
                <a:ea typeface="+mn-ea"/>
                <a:cs typeface="+mn-cs"/>
              </a:rPr>
              <a:t> </a:t>
            </a:r>
            <a:r>
              <a:rPr lang="en-IN" sz="16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Profit</a:t>
            </a:r>
          </a:p>
          <a:p>
            <a:endParaRPr lang="en-IN" sz="1600"/>
          </a:p>
        </xdr:txBody>
      </xdr:sp>
      <xdr:sp macro="" textlink="Pivot!F16">
        <xdr:nvSpPr>
          <xdr:cNvPr id="13" name="TextBox 12">
            <a:extLst>
              <a:ext uri="{FF2B5EF4-FFF2-40B4-BE49-F238E27FC236}">
                <a16:creationId xmlns:a16="http://schemas.microsoft.com/office/drawing/2014/main" id="{9587F5F4-1732-4E5E-A913-3378B29F7B65}"/>
              </a:ext>
            </a:extLst>
          </xdr:cNvPr>
          <xdr:cNvSpPr txBox="1"/>
        </xdr:nvSpPr>
        <xdr:spPr>
          <a:xfrm>
            <a:off x="2369820" y="2956560"/>
            <a:ext cx="1508760" cy="38862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fld id="{00D11B15-1313-43AD-80EF-A399F594858C}" type="TxLink">
              <a:rPr lang="en-US" sz="24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latin typeface="Aptos Narrow"/>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4,698.1K</a:t>
            </a:fld>
            <a:endParaRPr lang="en-IN" sz="24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latin typeface="Aptos Narrow"/>
              <a:ea typeface="+mn-ea"/>
              <a:cs typeface="+mn-cs"/>
            </a:endParaRPr>
          </a:p>
        </xdr:txBody>
      </xdr:sp>
      <xdr:pic>
        <xdr:nvPicPr>
          <xdr:cNvPr id="15" name="Graphic 14" descr="Coins with solid fill">
            <a:extLst>
              <a:ext uri="{FF2B5EF4-FFF2-40B4-BE49-F238E27FC236}">
                <a16:creationId xmlns:a16="http://schemas.microsoft.com/office/drawing/2014/main" id="{381B357E-FE45-9828-BD72-6F3B126273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710940" y="2712720"/>
            <a:ext cx="571500" cy="571500"/>
          </a:xfrm>
          <a:prstGeom prst="rect">
            <a:avLst/>
          </a:prstGeom>
        </xdr:spPr>
      </xdr:pic>
    </xdr:grpSp>
    <xdr:clientData/>
  </xdr:twoCellAnchor>
  <xdr:twoCellAnchor>
    <xdr:from>
      <xdr:col>13</xdr:col>
      <xdr:colOff>96520</xdr:colOff>
      <xdr:row>0</xdr:row>
      <xdr:rowOff>83820</xdr:rowOff>
    </xdr:from>
    <xdr:to>
      <xdr:col>16</xdr:col>
      <xdr:colOff>561340</xdr:colOff>
      <xdr:row>5</xdr:row>
      <xdr:rowOff>99060</xdr:rowOff>
    </xdr:to>
    <xdr:grpSp>
      <xdr:nvGrpSpPr>
        <xdr:cNvPr id="50" name="Group 49">
          <a:extLst>
            <a:ext uri="{FF2B5EF4-FFF2-40B4-BE49-F238E27FC236}">
              <a16:creationId xmlns:a16="http://schemas.microsoft.com/office/drawing/2014/main" id="{A33E0CF1-009C-499B-6890-FF50778E6199}"/>
            </a:ext>
          </a:extLst>
        </xdr:cNvPr>
        <xdr:cNvGrpSpPr/>
      </xdr:nvGrpSpPr>
      <xdr:grpSpPr>
        <a:xfrm>
          <a:off x="8021320" y="83820"/>
          <a:ext cx="2293620" cy="929640"/>
          <a:chOff x="8336280" y="739140"/>
          <a:chExt cx="2125980" cy="883920"/>
        </a:xfrm>
      </xdr:grpSpPr>
      <xdr:sp macro="" textlink="">
        <xdr:nvSpPr>
          <xdr:cNvPr id="18" name="Rectangle: Rounded Corners 17">
            <a:extLst>
              <a:ext uri="{FF2B5EF4-FFF2-40B4-BE49-F238E27FC236}">
                <a16:creationId xmlns:a16="http://schemas.microsoft.com/office/drawing/2014/main" id="{63F69049-7773-5A92-8A3E-DDDC4929D3F9}"/>
              </a:ext>
            </a:extLst>
          </xdr:cNvPr>
          <xdr:cNvSpPr/>
        </xdr:nvSpPr>
        <xdr:spPr>
          <a:xfrm>
            <a:off x="8336280" y="739140"/>
            <a:ext cx="2125980" cy="883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ysClr val="windowText" lastClr="000000"/>
              </a:solidFill>
            </a:endParaRPr>
          </a:p>
        </xdr:txBody>
      </xdr:sp>
      <xdr:sp macro="" textlink="">
        <xdr:nvSpPr>
          <xdr:cNvPr id="19" name="TextBox 18">
            <a:extLst>
              <a:ext uri="{FF2B5EF4-FFF2-40B4-BE49-F238E27FC236}">
                <a16:creationId xmlns:a16="http://schemas.microsoft.com/office/drawing/2014/main" id="{776E2002-CF2B-EAD6-D30F-57EA8E74B10B}"/>
              </a:ext>
            </a:extLst>
          </xdr:cNvPr>
          <xdr:cNvSpPr txBox="1"/>
        </xdr:nvSpPr>
        <xdr:spPr>
          <a:xfrm>
            <a:off x="8404860" y="868680"/>
            <a:ext cx="1485900" cy="29718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Total</a:t>
            </a:r>
            <a:r>
              <a:rPr lang="en-IN" sz="1600" b="1">
                <a:solidFill>
                  <a:schemeClr val="dk1"/>
                </a:solidFill>
                <a:effectLst/>
                <a:latin typeface="+mn-lt"/>
                <a:ea typeface="+mn-ea"/>
                <a:cs typeface="+mn-cs"/>
              </a:rPr>
              <a:t> </a:t>
            </a:r>
            <a:r>
              <a:rPr lang="en-IN" sz="16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Units</a:t>
            </a:r>
          </a:p>
        </xdr:txBody>
      </xdr:sp>
      <xdr:sp macro="" textlink="Pivot!G16">
        <xdr:nvSpPr>
          <xdr:cNvPr id="20" name="TextBox 19">
            <a:extLst>
              <a:ext uri="{FF2B5EF4-FFF2-40B4-BE49-F238E27FC236}">
                <a16:creationId xmlns:a16="http://schemas.microsoft.com/office/drawing/2014/main" id="{0DADF815-F0E9-4881-B9D6-B314C958A495}"/>
              </a:ext>
            </a:extLst>
          </xdr:cNvPr>
          <xdr:cNvSpPr txBox="1"/>
        </xdr:nvSpPr>
        <xdr:spPr>
          <a:xfrm>
            <a:off x="8442960" y="1150620"/>
            <a:ext cx="1508760" cy="388620"/>
          </a:xfrm>
          <a:prstGeom prst="rect">
            <a:avLst/>
          </a:prstGeom>
          <a:noFill/>
          <a:ln w="9525" cmpd="sng">
            <a:solidFill>
              <a:schemeClr val="bg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fld id="{280C4407-4982-4252-B150-0AE85DDA430C}" type="TxLink">
              <a:rPr lang="en-US" sz="24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latin typeface="Aptos Narrow"/>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1,130</a:t>
            </a:fld>
            <a:endParaRPr lang="en-IN" sz="24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latin typeface="Aptos Narrow"/>
              <a:ea typeface="+mn-ea"/>
              <a:cs typeface="+mn-cs"/>
            </a:endParaRPr>
          </a:p>
        </xdr:txBody>
      </xdr:sp>
      <xdr:pic>
        <xdr:nvPicPr>
          <xdr:cNvPr id="23" name="Graphic 22" descr="Network with solid fill">
            <a:extLst>
              <a:ext uri="{FF2B5EF4-FFF2-40B4-BE49-F238E27FC236}">
                <a16:creationId xmlns:a16="http://schemas.microsoft.com/office/drawing/2014/main" id="{8184C69B-6A78-0E31-3E84-C305576B36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30740" y="891540"/>
            <a:ext cx="632460" cy="632460"/>
          </a:xfrm>
          <a:prstGeom prst="rect">
            <a:avLst/>
          </a:prstGeom>
        </xdr:spPr>
      </xdr:pic>
    </xdr:grpSp>
    <xdr:clientData/>
  </xdr:twoCellAnchor>
  <xdr:twoCellAnchor>
    <xdr:from>
      <xdr:col>17</xdr:col>
      <xdr:colOff>38100</xdr:colOff>
      <xdr:row>0</xdr:row>
      <xdr:rowOff>68580</xdr:rowOff>
    </xdr:from>
    <xdr:to>
      <xdr:col>20</xdr:col>
      <xdr:colOff>601980</xdr:colOff>
      <xdr:row>5</xdr:row>
      <xdr:rowOff>114300</xdr:rowOff>
    </xdr:to>
    <xdr:grpSp>
      <xdr:nvGrpSpPr>
        <xdr:cNvPr id="51" name="Group 50">
          <a:extLst>
            <a:ext uri="{FF2B5EF4-FFF2-40B4-BE49-F238E27FC236}">
              <a16:creationId xmlns:a16="http://schemas.microsoft.com/office/drawing/2014/main" id="{A6AB67D9-627E-0D7E-E6E7-F76FEA1283B2}"/>
            </a:ext>
          </a:extLst>
        </xdr:cNvPr>
        <xdr:cNvGrpSpPr/>
      </xdr:nvGrpSpPr>
      <xdr:grpSpPr>
        <a:xfrm>
          <a:off x="10401300" y="68580"/>
          <a:ext cx="2392680" cy="960120"/>
          <a:chOff x="10652760" y="746760"/>
          <a:chExt cx="2125980" cy="883920"/>
        </a:xfrm>
      </xdr:grpSpPr>
      <xdr:sp macro="" textlink="">
        <xdr:nvSpPr>
          <xdr:cNvPr id="25" name="Rectangle: Rounded Corners 24">
            <a:extLst>
              <a:ext uri="{FF2B5EF4-FFF2-40B4-BE49-F238E27FC236}">
                <a16:creationId xmlns:a16="http://schemas.microsoft.com/office/drawing/2014/main" id="{C87ABE11-0F8E-FB03-D5C7-57E5DFC11F4F}"/>
              </a:ext>
            </a:extLst>
          </xdr:cNvPr>
          <xdr:cNvSpPr/>
        </xdr:nvSpPr>
        <xdr:spPr>
          <a:xfrm>
            <a:off x="10652760" y="746760"/>
            <a:ext cx="2125980" cy="8839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ysClr val="windowText" lastClr="000000"/>
              </a:solidFill>
            </a:endParaRPr>
          </a:p>
        </xdr:txBody>
      </xdr:sp>
      <xdr:sp macro="" textlink="">
        <xdr:nvSpPr>
          <xdr:cNvPr id="26" name="TextBox 25">
            <a:extLst>
              <a:ext uri="{FF2B5EF4-FFF2-40B4-BE49-F238E27FC236}">
                <a16:creationId xmlns:a16="http://schemas.microsoft.com/office/drawing/2014/main" id="{06C30413-4717-F355-46D3-DBBB7C51966B}"/>
              </a:ext>
            </a:extLst>
          </xdr:cNvPr>
          <xdr:cNvSpPr txBox="1"/>
        </xdr:nvSpPr>
        <xdr:spPr>
          <a:xfrm>
            <a:off x="10698480" y="868680"/>
            <a:ext cx="1485900" cy="297180"/>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Achievement</a:t>
            </a:r>
          </a:p>
          <a:p>
            <a:endParaRPr lang="en-IN" sz="1600"/>
          </a:p>
        </xdr:txBody>
      </xdr:sp>
      <xdr:sp macro="" textlink="Pivot!I16">
        <xdr:nvSpPr>
          <xdr:cNvPr id="27" name="TextBox 26">
            <a:extLst>
              <a:ext uri="{FF2B5EF4-FFF2-40B4-BE49-F238E27FC236}">
                <a16:creationId xmlns:a16="http://schemas.microsoft.com/office/drawing/2014/main" id="{BA832304-2394-B63C-420D-CD3EA28B4EDC}"/>
              </a:ext>
            </a:extLst>
          </xdr:cNvPr>
          <xdr:cNvSpPr txBox="1"/>
        </xdr:nvSpPr>
        <xdr:spPr>
          <a:xfrm>
            <a:off x="10736580" y="1150620"/>
            <a:ext cx="1508760" cy="388620"/>
          </a:xfrm>
          <a:prstGeom prst="rect">
            <a:avLst/>
          </a:prstGeom>
          <a:noFill/>
          <a:ln w="9525" cmpd="sng">
            <a:solidFill>
              <a:schemeClr val="bg1"/>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fld id="{68F1416B-058A-4597-99F7-E95CB37FECC7}" type="TxLink">
              <a:rPr lang="en-US" sz="24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latin typeface="Aptos Narrow"/>
                <a:ea typeface="+mn-ea"/>
                <a:cs typeface="+mn-cs"/>
              </a:rPr>
              <a:pPr marL="0" marR="0" lvl="0" indent="0" defTabSz="914400" eaLnBrk="1" fontAlgn="auto" latinLnBrk="0" hangingPunct="1">
                <a:lnSpc>
                  <a:spcPct val="100000"/>
                </a:lnSpc>
                <a:spcBef>
                  <a:spcPts val="0"/>
                </a:spcBef>
                <a:spcAft>
                  <a:spcPts val="0"/>
                </a:spcAft>
                <a:buClrTx/>
                <a:buSzTx/>
                <a:buFontTx/>
                <a:buNone/>
                <a:tabLst/>
                <a:defRPr/>
              </a:pPr>
              <a:t>90%</a:t>
            </a:fld>
            <a:endParaRPr lang="en-IN" sz="2400" b="1" i="0" u="none" strike="noStrike">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3500000" scaled="1"/>
                <a:tileRect/>
              </a:gradFill>
              <a:effectLst>
                <a:reflection blurRad="6350" stA="55000" endA="300" endPos="45500" dir="5400000" sy="-100000" algn="bl" rotWithShape="0"/>
              </a:effectLst>
              <a:latin typeface="Aptos Narrow"/>
              <a:ea typeface="+mn-ea"/>
              <a:cs typeface="+mn-cs"/>
            </a:endParaRPr>
          </a:p>
        </xdr:txBody>
      </xdr:sp>
      <xdr:pic>
        <xdr:nvPicPr>
          <xdr:cNvPr id="30" name="Graphic 29" descr="Ribbon with solid fill">
            <a:extLst>
              <a:ext uri="{FF2B5EF4-FFF2-40B4-BE49-F238E27FC236}">
                <a16:creationId xmlns:a16="http://schemas.microsoft.com/office/drawing/2014/main" id="{0E3F927A-01F4-83EC-B18B-A49C58289AB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024360" y="891540"/>
            <a:ext cx="632460" cy="632460"/>
          </a:xfrm>
          <a:prstGeom prst="rect">
            <a:avLst/>
          </a:prstGeom>
        </xdr:spPr>
      </xdr:pic>
    </xdr:grpSp>
    <xdr:clientData/>
  </xdr:twoCellAnchor>
  <xdr:twoCellAnchor>
    <xdr:from>
      <xdr:col>0</xdr:col>
      <xdr:colOff>60960</xdr:colOff>
      <xdr:row>5</xdr:row>
      <xdr:rowOff>167640</xdr:rowOff>
    </xdr:from>
    <xdr:to>
      <xdr:col>7</xdr:col>
      <xdr:colOff>388620</xdr:colOff>
      <xdr:row>18</xdr:row>
      <xdr:rowOff>167640</xdr:rowOff>
    </xdr:to>
    <xdr:grpSp>
      <xdr:nvGrpSpPr>
        <xdr:cNvPr id="52" name="Group 51">
          <a:extLst>
            <a:ext uri="{FF2B5EF4-FFF2-40B4-BE49-F238E27FC236}">
              <a16:creationId xmlns:a16="http://schemas.microsoft.com/office/drawing/2014/main" id="{D16F5231-76B3-3CB1-194B-BB2CC357A0DD}"/>
            </a:ext>
          </a:extLst>
        </xdr:cNvPr>
        <xdr:cNvGrpSpPr/>
      </xdr:nvGrpSpPr>
      <xdr:grpSpPr>
        <a:xfrm>
          <a:off x="60960" y="1082040"/>
          <a:ext cx="4594860" cy="2377440"/>
          <a:chOff x="3794760" y="1752600"/>
          <a:chExt cx="3870960" cy="2034540"/>
        </a:xfrm>
      </xdr:grpSpPr>
      <xdr:sp macro="" textlink="">
        <xdr:nvSpPr>
          <xdr:cNvPr id="32" name="Rectangle: Rounded Corners 31">
            <a:extLst>
              <a:ext uri="{FF2B5EF4-FFF2-40B4-BE49-F238E27FC236}">
                <a16:creationId xmlns:a16="http://schemas.microsoft.com/office/drawing/2014/main" id="{8F757502-7727-BC46-79D5-F7A3DA52B8B7}"/>
              </a:ext>
            </a:extLst>
          </xdr:cNvPr>
          <xdr:cNvSpPr/>
        </xdr:nvSpPr>
        <xdr:spPr>
          <a:xfrm>
            <a:off x="3794760" y="1752600"/>
            <a:ext cx="3870960" cy="20345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Revenue by Region</a:t>
            </a:r>
          </a:p>
        </xdr:txBody>
      </xdr:sp>
      <xdr:graphicFrame macro="">
        <xdr:nvGraphicFramePr>
          <xdr:cNvPr id="39" name="Chart 38">
            <a:extLst>
              <a:ext uri="{FF2B5EF4-FFF2-40B4-BE49-F238E27FC236}">
                <a16:creationId xmlns:a16="http://schemas.microsoft.com/office/drawing/2014/main" id="{180B0EFB-C082-406D-86A7-2F8B270645D0}"/>
              </a:ext>
            </a:extLst>
          </xdr:cNvPr>
          <xdr:cNvGraphicFramePr>
            <a:graphicFrameLocks/>
          </xdr:cNvGraphicFramePr>
        </xdr:nvGraphicFramePr>
        <xdr:xfrm>
          <a:off x="3939540" y="2110740"/>
          <a:ext cx="3413760" cy="165354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7</xdr:col>
      <xdr:colOff>525780</xdr:colOff>
      <xdr:row>5</xdr:row>
      <xdr:rowOff>167640</xdr:rowOff>
    </xdr:from>
    <xdr:to>
      <xdr:col>15</xdr:col>
      <xdr:colOff>242580</xdr:colOff>
      <xdr:row>18</xdr:row>
      <xdr:rowOff>166200</xdr:rowOff>
    </xdr:to>
    <xdr:grpSp>
      <xdr:nvGrpSpPr>
        <xdr:cNvPr id="53" name="Group 52">
          <a:extLst>
            <a:ext uri="{FF2B5EF4-FFF2-40B4-BE49-F238E27FC236}">
              <a16:creationId xmlns:a16="http://schemas.microsoft.com/office/drawing/2014/main" id="{ACA47F2C-761B-3268-612A-4C5E805AF120}"/>
            </a:ext>
          </a:extLst>
        </xdr:cNvPr>
        <xdr:cNvGrpSpPr/>
      </xdr:nvGrpSpPr>
      <xdr:grpSpPr>
        <a:xfrm>
          <a:off x="4792980" y="1082040"/>
          <a:ext cx="4593600" cy="2376000"/>
          <a:chOff x="7825740" y="1783080"/>
          <a:chExt cx="3870000" cy="2034000"/>
        </a:xfrm>
      </xdr:grpSpPr>
      <xdr:sp macro="" textlink="">
        <xdr:nvSpPr>
          <xdr:cNvPr id="38" name="Rectangle: Rounded Corners 37">
            <a:extLst>
              <a:ext uri="{FF2B5EF4-FFF2-40B4-BE49-F238E27FC236}">
                <a16:creationId xmlns:a16="http://schemas.microsoft.com/office/drawing/2014/main" id="{D5D07DDD-DE65-404A-BD03-B1767EED1D7C}"/>
              </a:ext>
            </a:extLst>
          </xdr:cNvPr>
          <xdr:cNvSpPr/>
        </xdr:nvSpPr>
        <xdr:spPr>
          <a:xfrm>
            <a:off x="7825740" y="1783080"/>
            <a:ext cx="3870000" cy="2034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Product</a:t>
            </a:r>
            <a:r>
              <a:rPr lang="en-IN" sz="1400" b="1" baseline="0">
                <a:solidFill>
                  <a:sysClr val="windowText" lastClr="000000"/>
                </a:solidFill>
              </a:rPr>
              <a:t> Category Performance</a:t>
            </a:r>
            <a:endParaRPr lang="en-IN" sz="1400" b="1">
              <a:solidFill>
                <a:sysClr val="windowText" lastClr="000000"/>
              </a:solidFill>
            </a:endParaRPr>
          </a:p>
        </xdr:txBody>
      </xdr:sp>
      <xdr:graphicFrame macro="">
        <xdr:nvGraphicFramePr>
          <xdr:cNvPr id="40" name="Chart 39">
            <a:extLst>
              <a:ext uri="{FF2B5EF4-FFF2-40B4-BE49-F238E27FC236}">
                <a16:creationId xmlns:a16="http://schemas.microsoft.com/office/drawing/2014/main" id="{A0EF9BE8-CA9C-49EC-AAE8-F910DBDDAEAC}"/>
              </a:ext>
            </a:extLst>
          </xdr:cNvPr>
          <xdr:cNvGraphicFramePr>
            <a:graphicFrameLocks/>
          </xdr:cNvGraphicFramePr>
        </xdr:nvGraphicFramePr>
        <xdr:xfrm>
          <a:off x="7894320" y="2072640"/>
          <a:ext cx="3627120" cy="166878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83820</xdr:colOff>
      <xdr:row>19</xdr:row>
      <xdr:rowOff>114300</xdr:rowOff>
    </xdr:from>
    <xdr:to>
      <xdr:col>7</xdr:col>
      <xdr:colOff>410220</xdr:colOff>
      <xdr:row>32</xdr:row>
      <xdr:rowOff>112860</xdr:rowOff>
    </xdr:to>
    <xdr:grpSp>
      <xdr:nvGrpSpPr>
        <xdr:cNvPr id="54" name="Group 53">
          <a:extLst>
            <a:ext uri="{FF2B5EF4-FFF2-40B4-BE49-F238E27FC236}">
              <a16:creationId xmlns:a16="http://schemas.microsoft.com/office/drawing/2014/main" id="{32D23B07-30E3-CB6A-A8E1-F58FD6A500BF}"/>
            </a:ext>
          </a:extLst>
        </xdr:cNvPr>
        <xdr:cNvGrpSpPr/>
      </xdr:nvGrpSpPr>
      <xdr:grpSpPr>
        <a:xfrm>
          <a:off x="83820" y="3589020"/>
          <a:ext cx="4593600" cy="2376000"/>
          <a:chOff x="3771900" y="4107180"/>
          <a:chExt cx="3870000" cy="2034000"/>
        </a:xfrm>
      </xdr:grpSpPr>
      <xdr:sp macro="" textlink="">
        <xdr:nvSpPr>
          <xdr:cNvPr id="36" name="Rectangle: Rounded Corners 35">
            <a:extLst>
              <a:ext uri="{FF2B5EF4-FFF2-40B4-BE49-F238E27FC236}">
                <a16:creationId xmlns:a16="http://schemas.microsoft.com/office/drawing/2014/main" id="{E6737650-3638-44DD-98B4-800F01B1E3ED}"/>
              </a:ext>
            </a:extLst>
          </xdr:cNvPr>
          <xdr:cNvSpPr/>
        </xdr:nvSpPr>
        <xdr:spPr>
          <a:xfrm>
            <a:off x="3771900" y="4107180"/>
            <a:ext cx="3870000" cy="2034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rPr>
              <a:t>Monthly</a:t>
            </a:r>
            <a:r>
              <a:rPr lang="en-IN" sz="1400" b="1" baseline="0">
                <a:solidFill>
                  <a:sysClr val="windowText" lastClr="000000"/>
                </a:solidFill>
              </a:rPr>
              <a:t> Revenue Trend</a:t>
            </a:r>
            <a:endParaRPr lang="en-IN" sz="1400" b="1">
              <a:solidFill>
                <a:sysClr val="windowText" lastClr="000000"/>
              </a:solidFill>
            </a:endParaRPr>
          </a:p>
        </xdr:txBody>
      </xdr:sp>
      <xdr:graphicFrame macro="">
        <xdr:nvGraphicFramePr>
          <xdr:cNvPr id="41" name="Chart 40">
            <a:extLst>
              <a:ext uri="{FF2B5EF4-FFF2-40B4-BE49-F238E27FC236}">
                <a16:creationId xmlns:a16="http://schemas.microsoft.com/office/drawing/2014/main" id="{413BFFE6-312E-4157-B7A2-B007CF386ACE}"/>
              </a:ext>
            </a:extLst>
          </xdr:cNvPr>
          <xdr:cNvGraphicFramePr>
            <a:graphicFrameLocks/>
          </xdr:cNvGraphicFramePr>
        </xdr:nvGraphicFramePr>
        <xdr:xfrm>
          <a:off x="3863340" y="4419600"/>
          <a:ext cx="3566160" cy="166878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7</xdr:col>
      <xdr:colOff>541020</xdr:colOff>
      <xdr:row>19</xdr:row>
      <xdr:rowOff>129540</xdr:rowOff>
    </xdr:from>
    <xdr:to>
      <xdr:col>15</xdr:col>
      <xdr:colOff>257820</xdr:colOff>
      <xdr:row>32</xdr:row>
      <xdr:rowOff>128100</xdr:rowOff>
    </xdr:to>
    <xdr:grpSp>
      <xdr:nvGrpSpPr>
        <xdr:cNvPr id="55" name="Group 54">
          <a:extLst>
            <a:ext uri="{FF2B5EF4-FFF2-40B4-BE49-F238E27FC236}">
              <a16:creationId xmlns:a16="http://schemas.microsoft.com/office/drawing/2014/main" id="{8057A23D-E5BD-49F3-05C0-34BE40A79F49}"/>
            </a:ext>
          </a:extLst>
        </xdr:cNvPr>
        <xdr:cNvGrpSpPr/>
      </xdr:nvGrpSpPr>
      <xdr:grpSpPr>
        <a:xfrm>
          <a:off x="4808220" y="3604260"/>
          <a:ext cx="4593600" cy="2376000"/>
          <a:chOff x="7840980" y="4122420"/>
          <a:chExt cx="3870000" cy="2049780"/>
        </a:xfrm>
      </xdr:grpSpPr>
      <xdr:sp macro="" textlink="">
        <xdr:nvSpPr>
          <xdr:cNvPr id="37" name="Rectangle: Rounded Corners 36">
            <a:extLst>
              <a:ext uri="{FF2B5EF4-FFF2-40B4-BE49-F238E27FC236}">
                <a16:creationId xmlns:a16="http://schemas.microsoft.com/office/drawing/2014/main" id="{E9AE287A-45E7-4F46-A0BD-8371F55A4C53}"/>
              </a:ext>
            </a:extLst>
          </xdr:cNvPr>
          <xdr:cNvSpPr/>
        </xdr:nvSpPr>
        <xdr:spPr>
          <a:xfrm>
            <a:off x="7840980" y="4122420"/>
            <a:ext cx="3870000" cy="2034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ysClr val="windowText" lastClr="000000"/>
                </a:solidFill>
                <a:latin typeface="+mn-lt"/>
                <a:ea typeface="+mn-ea"/>
                <a:cs typeface="+mn-cs"/>
              </a:rPr>
              <a:t>Sales</a:t>
            </a:r>
            <a:r>
              <a:rPr lang="en-IN" sz="1100" b="0" i="0" u="none" strike="noStrike">
                <a:solidFill>
                  <a:sysClr val="windowText" lastClr="000000"/>
                </a:solidFill>
                <a:effectLst/>
                <a:latin typeface="+mn-lt"/>
                <a:ea typeface="+mn-ea"/>
                <a:cs typeface="+mn-cs"/>
              </a:rPr>
              <a:t> </a:t>
            </a:r>
            <a:r>
              <a:rPr lang="en-IN" sz="1400" b="1">
                <a:solidFill>
                  <a:sysClr val="windowText" lastClr="000000"/>
                </a:solidFill>
                <a:latin typeface="+mn-lt"/>
                <a:ea typeface="+mn-ea"/>
                <a:cs typeface="+mn-cs"/>
              </a:rPr>
              <a:t>Channel</a:t>
            </a:r>
            <a:r>
              <a:rPr lang="en-IN" sz="1100" b="0" i="0" u="none" strike="noStrike">
                <a:solidFill>
                  <a:sysClr val="windowText" lastClr="000000"/>
                </a:solidFill>
                <a:effectLst/>
                <a:latin typeface="+mn-lt"/>
                <a:ea typeface="+mn-ea"/>
                <a:cs typeface="+mn-cs"/>
              </a:rPr>
              <a:t> </a:t>
            </a:r>
            <a:r>
              <a:rPr lang="en-IN" sz="1400" b="1">
                <a:solidFill>
                  <a:sysClr val="windowText" lastClr="000000"/>
                </a:solidFill>
                <a:latin typeface="+mn-lt"/>
                <a:ea typeface="+mn-ea"/>
                <a:cs typeface="+mn-cs"/>
              </a:rPr>
              <a:t>Distribution</a:t>
            </a:r>
          </a:p>
        </xdr:txBody>
      </xdr:sp>
      <xdr:graphicFrame macro="">
        <xdr:nvGraphicFramePr>
          <xdr:cNvPr id="42" name="Chart 41">
            <a:extLst>
              <a:ext uri="{FF2B5EF4-FFF2-40B4-BE49-F238E27FC236}">
                <a16:creationId xmlns:a16="http://schemas.microsoft.com/office/drawing/2014/main" id="{68F8CE22-0A7D-406F-B0FF-0FBC19D79338}"/>
              </a:ext>
            </a:extLst>
          </xdr:cNvPr>
          <xdr:cNvGraphicFramePr>
            <a:graphicFrameLocks/>
          </xdr:cNvGraphicFramePr>
        </xdr:nvGraphicFramePr>
        <xdr:xfrm>
          <a:off x="7886700" y="4434840"/>
          <a:ext cx="3733800" cy="173736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45720</xdr:colOff>
      <xdr:row>0</xdr:row>
      <xdr:rowOff>60960</xdr:rowOff>
    </xdr:from>
    <xdr:to>
      <xdr:col>5</xdr:col>
      <xdr:colOff>137160</xdr:colOff>
      <xdr:row>5</xdr:row>
      <xdr:rowOff>35760</xdr:rowOff>
    </xdr:to>
    <xdr:grpSp>
      <xdr:nvGrpSpPr>
        <xdr:cNvPr id="48" name="Group 47">
          <a:extLst>
            <a:ext uri="{FF2B5EF4-FFF2-40B4-BE49-F238E27FC236}">
              <a16:creationId xmlns:a16="http://schemas.microsoft.com/office/drawing/2014/main" id="{CCFA0C63-0652-8881-E9AA-7D3D27565E7C}"/>
            </a:ext>
          </a:extLst>
        </xdr:cNvPr>
        <xdr:cNvGrpSpPr/>
      </xdr:nvGrpSpPr>
      <xdr:grpSpPr>
        <a:xfrm>
          <a:off x="45720" y="60960"/>
          <a:ext cx="3139440" cy="889200"/>
          <a:chOff x="495300" y="716280"/>
          <a:chExt cx="3185160" cy="885600"/>
        </a:xfrm>
      </xdr:grpSpPr>
      <xdr:sp macro="" textlink="">
        <xdr:nvSpPr>
          <xdr:cNvPr id="43" name="Rectangle: Rounded Corners 42">
            <a:extLst>
              <a:ext uri="{FF2B5EF4-FFF2-40B4-BE49-F238E27FC236}">
                <a16:creationId xmlns:a16="http://schemas.microsoft.com/office/drawing/2014/main" id="{3D7E220C-AAE1-43F7-B0D6-C5C4A0AE8AB5}"/>
              </a:ext>
            </a:extLst>
          </xdr:cNvPr>
          <xdr:cNvSpPr/>
        </xdr:nvSpPr>
        <xdr:spPr>
          <a:xfrm>
            <a:off x="495300" y="716280"/>
            <a:ext cx="3185160" cy="8856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SALES</a:t>
            </a:r>
            <a:r>
              <a:rPr lang="en-IN" sz="1400" b="1" baseline="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 PERFORMANCE </a:t>
            </a:r>
          </a:p>
          <a:p>
            <a:pPr algn="ctr"/>
            <a:r>
              <a:rPr lang="en-IN" sz="1400" b="1" baseline="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&amp;</a:t>
            </a:r>
          </a:p>
          <a:p>
            <a:pPr algn="ctr"/>
            <a:r>
              <a:rPr lang="en-IN" sz="1400" b="1" baseline="0">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REVENUE TRACKING</a:t>
            </a:r>
            <a:endParaRPr lang="en-IN"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pic>
        <xdr:nvPicPr>
          <xdr:cNvPr id="45" name="Graphic 44" descr="Money with solid fill">
            <a:extLst>
              <a:ext uri="{FF2B5EF4-FFF2-40B4-BE49-F238E27FC236}">
                <a16:creationId xmlns:a16="http://schemas.microsoft.com/office/drawing/2014/main" id="{A786A616-A0D2-4305-4652-6B0BE1DC2D6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4840" y="899160"/>
            <a:ext cx="540000" cy="540000"/>
          </a:xfrm>
          <a:prstGeom prst="rect">
            <a:avLst/>
          </a:prstGeom>
        </xdr:spPr>
      </xdr:pic>
      <xdr:pic>
        <xdr:nvPicPr>
          <xdr:cNvPr id="47" name="Graphic 46" descr="Research with solid fill">
            <a:extLst>
              <a:ext uri="{FF2B5EF4-FFF2-40B4-BE49-F238E27FC236}">
                <a16:creationId xmlns:a16="http://schemas.microsoft.com/office/drawing/2014/main" id="{221F76DD-1092-4332-2E68-0DF8B38FE62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030360" y="896760"/>
            <a:ext cx="540000" cy="540000"/>
          </a:xfrm>
          <a:prstGeom prst="rect">
            <a:avLst/>
          </a:prstGeom>
        </xdr:spPr>
      </xdr:pic>
    </xdr:grpSp>
    <xdr:clientData/>
  </xdr:twoCellAnchor>
  <xdr:twoCellAnchor>
    <xdr:from>
      <xdr:col>15</xdr:col>
      <xdr:colOff>403860</xdr:colOff>
      <xdr:row>6</xdr:row>
      <xdr:rowOff>22860</xdr:rowOff>
    </xdr:from>
    <xdr:to>
      <xdr:col>21</xdr:col>
      <xdr:colOff>0</xdr:colOff>
      <xdr:row>8</xdr:row>
      <xdr:rowOff>0</xdr:rowOff>
    </xdr:to>
    <xdr:sp macro="" textlink="">
      <xdr:nvSpPr>
        <xdr:cNvPr id="61" name="Rectangle: Rounded Corners 60">
          <a:extLst>
            <a:ext uri="{FF2B5EF4-FFF2-40B4-BE49-F238E27FC236}">
              <a16:creationId xmlns:a16="http://schemas.microsoft.com/office/drawing/2014/main" id="{805F96C0-F0F6-2BC1-2755-D57BA1193762}"/>
            </a:ext>
          </a:extLst>
        </xdr:cNvPr>
        <xdr:cNvSpPr/>
      </xdr:nvSpPr>
      <xdr:spPr>
        <a:xfrm>
          <a:off x="9547860" y="1120140"/>
          <a:ext cx="3253740" cy="3429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INTERACTIVE</a:t>
          </a:r>
          <a:r>
            <a:rPr lang="en-IN"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IN"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SLICER</a:t>
          </a:r>
          <a:r>
            <a:rPr lang="en-IN"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IN"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AND</a:t>
          </a:r>
          <a:r>
            <a:rPr lang="en-IN" sz="14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t>
          </a:r>
          <a:r>
            <a:rPr lang="en-IN" sz="1400" b="1">
              <a:solidFill>
                <a:schemeClr val="accent2">
                  <a:lumMod val="75000"/>
                </a:schemeClr>
              </a:solidFill>
              <a:latin typeface="Calibri" panose="020F0502020204030204" pitchFamily="34" charset="0"/>
              <a:ea typeface="Calibri" panose="020F0502020204030204" pitchFamily="34" charset="0"/>
              <a:cs typeface="Calibri" panose="020F0502020204030204" pitchFamily="34" charset="0"/>
            </a:rPr>
            <a:t>FLITER</a:t>
          </a:r>
        </a:p>
      </xdr:txBody>
    </xdr:sp>
    <xdr:clientData/>
  </xdr:twoCellAnchor>
  <xdr:twoCellAnchor editAs="oneCell">
    <xdr:from>
      <xdr:col>18</xdr:col>
      <xdr:colOff>327660</xdr:colOff>
      <xdr:row>15</xdr:row>
      <xdr:rowOff>121921</xdr:rowOff>
    </xdr:from>
    <xdr:to>
      <xdr:col>20</xdr:col>
      <xdr:colOff>601980</xdr:colOff>
      <xdr:row>23</xdr:row>
      <xdr:rowOff>181681</xdr:rowOff>
    </xdr:to>
    <mc:AlternateContent xmlns:mc="http://schemas.openxmlformats.org/markup-compatibility/2006" xmlns:a14="http://schemas.microsoft.com/office/drawing/2010/main">
      <mc:Choice Requires="a14">
        <xdr:graphicFrame macro="">
          <xdr:nvGraphicFramePr>
            <xdr:cNvPr id="64" name="Month 1">
              <a:extLst>
                <a:ext uri="{FF2B5EF4-FFF2-40B4-BE49-F238E27FC236}">
                  <a16:creationId xmlns:a16="http://schemas.microsoft.com/office/drawing/2014/main" id="{759D2D15-B2CB-468D-BB4A-DBB558168DEA}"/>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300460" y="2865121"/>
              <a:ext cx="1493520" cy="1522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15</xdr:row>
      <xdr:rowOff>121921</xdr:rowOff>
    </xdr:from>
    <xdr:to>
      <xdr:col>18</xdr:col>
      <xdr:colOff>228600</xdr:colOff>
      <xdr:row>24</xdr:row>
      <xdr:rowOff>1</xdr:rowOff>
    </xdr:to>
    <mc:AlternateContent xmlns:mc="http://schemas.openxmlformats.org/markup-compatibility/2006" xmlns:a14="http://schemas.microsoft.com/office/drawing/2010/main">
      <mc:Choice Requires="a14">
        <xdr:graphicFrame macro="">
          <xdr:nvGraphicFramePr>
            <xdr:cNvPr id="65" name="Region 1">
              <a:extLst>
                <a:ext uri="{FF2B5EF4-FFF2-40B4-BE49-F238E27FC236}">
                  <a16:creationId xmlns:a16="http://schemas.microsoft.com/office/drawing/2014/main" id="{6549B9C6-3082-4089-B3C0-C2190F8301C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01200" y="2865121"/>
              <a:ext cx="16002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24</xdr:row>
      <xdr:rowOff>137161</xdr:rowOff>
    </xdr:from>
    <xdr:to>
      <xdr:col>18</xdr:col>
      <xdr:colOff>228600</xdr:colOff>
      <xdr:row>31</xdr:row>
      <xdr:rowOff>167640</xdr:rowOff>
    </xdr:to>
    <mc:AlternateContent xmlns:mc="http://schemas.openxmlformats.org/markup-compatibility/2006" xmlns:a14="http://schemas.microsoft.com/office/drawing/2010/main">
      <mc:Choice Requires="a14">
        <xdr:graphicFrame macro="">
          <xdr:nvGraphicFramePr>
            <xdr:cNvPr id="66" name="Category 1">
              <a:extLst>
                <a:ext uri="{FF2B5EF4-FFF2-40B4-BE49-F238E27FC236}">
                  <a16:creationId xmlns:a16="http://schemas.microsoft.com/office/drawing/2014/main" id="{BAF064C0-7161-4094-A036-378CA34AE10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616440" y="4526281"/>
              <a:ext cx="1584960" cy="1310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8</xdr:row>
      <xdr:rowOff>68580</xdr:rowOff>
    </xdr:from>
    <xdr:to>
      <xdr:col>20</xdr:col>
      <xdr:colOff>586740</xdr:colOff>
      <xdr:row>14</xdr:row>
      <xdr:rowOff>106680</xdr:rowOff>
    </xdr:to>
    <mc:AlternateContent xmlns:mc="http://schemas.openxmlformats.org/markup-compatibility/2006" xmlns:tsle="http://schemas.microsoft.com/office/drawing/2012/timeslicer">
      <mc:Choice Requires="tsle">
        <xdr:graphicFrame macro="">
          <xdr:nvGraphicFramePr>
            <xdr:cNvPr id="68" name="Date 1">
              <a:extLst>
                <a:ext uri="{FF2B5EF4-FFF2-40B4-BE49-F238E27FC236}">
                  <a16:creationId xmlns:a16="http://schemas.microsoft.com/office/drawing/2014/main" id="{A932B06D-9C8F-48D8-9B70-EB85813EC88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9601200" y="1531620"/>
              <a:ext cx="3177540" cy="1135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335280</xdr:colOff>
      <xdr:row>24</xdr:row>
      <xdr:rowOff>137160</xdr:rowOff>
    </xdr:from>
    <xdr:to>
      <xdr:col>21</xdr:col>
      <xdr:colOff>7620</xdr:colOff>
      <xdr:row>31</xdr:row>
      <xdr:rowOff>160020</xdr:rowOff>
    </xdr:to>
    <mc:AlternateContent xmlns:mc="http://schemas.openxmlformats.org/markup-compatibility/2006" xmlns:a14="http://schemas.microsoft.com/office/drawing/2010/main">
      <mc:Choice Requires="a14">
        <xdr:graphicFrame macro="">
          <xdr:nvGraphicFramePr>
            <xdr:cNvPr id="70" name="Channel">
              <a:extLst>
                <a:ext uri="{FF2B5EF4-FFF2-40B4-BE49-F238E27FC236}">
                  <a16:creationId xmlns:a16="http://schemas.microsoft.com/office/drawing/2014/main" id="{993380FD-AE96-461C-9C20-DA5181C017E9}"/>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1308080" y="4526280"/>
              <a:ext cx="150114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ugaesh S" refreshedDate="46126.850838425926" missingItemsLimit="0" createdVersion="8" refreshedVersion="8" minRefreshableVersion="3" recordCount="100" xr:uid="{270261C5-5D76-442F-A27A-F01D8B244AB0}">
  <cacheSource type="worksheet">
    <worksheetSource name="Table1"/>
  </cacheSource>
  <cacheFields count="17">
    <cacheField name="Date" numFmtId="14">
      <sharedItems containsSemiMixedTypes="0" containsNonDate="0" containsDate="1" containsString="0" minDate="2025-01-01T00:00:00" maxDate="2025-04-11T00:00:00" count="1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sharedItems>
    </cacheField>
    <cacheField name="Month" numFmtId="0">
      <sharedItems count="4">
        <s v="Jan"/>
        <s v="Feb"/>
        <s v="Mar"/>
        <s v="Apr"/>
      </sharedItems>
    </cacheField>
    <cacheField name="Region" numFmtId="0">
      <sharedItems count="4">
        <s v="South"/>
        <s v="West"/>
        <s v="North"/>
        <s v="East"/>
      </sharedItems>
    </cacheField>
    <cacheField name="City" numFmtId="0">
      <sharedItems/>
    </cacheField>
    <cacheField name="Executive" numFmtId="0">
      <sharedItems count="5">
        <s v="Aman"/>
        <s v="Sneha"/>
        <s v="Rahul"/>
        <s v="Ravi"/>
        <s v="Priya"/>
      </sharedItems>
    </cacheField>
    <cacheField name="Category" numFmtId="0">
      <sharedItems count="3">
        <s v="Electronics"/>
        <s v="Clothing"/>
        <s v="Furniture"/>
      </sharedItems>
    </cacheField>
    <cacheField name="Product" numFmtId="0">
      <sharedItems/>
    </cacheField>
    <cacheField name="Units" numFmtId="1">
      <sharedItems containsSemiMixedTypes="0" containsString="0" containsNumber="1" containsInteger="1" minValue="1" maxValue="20"/>
    </cacheField>
    <cacheField name="Price" numFmtId="1">
      <sharedItems containsSemiMixedTypes="0" containsString="0" containsNumber="1" containsInteger="1" minValue="1000" maxValue="50000"/>
    </cacheField>
    <cacheField name="Revenue" numFmtId="1">
      <sharedItems containsSemiMixedTypes="0" containsString="0" containsNumber="1" containsInteger="1" minValue="7598" maxValue="932080"/>
    </cacheField>
    <cacheField name="Cost" numFmtId="1">
      <sharedItems containsSemiMixedTypes="0" containsString="0" containsNumber="1" minValue="6078.4000000000005" maxValue="745664"/>
    </cacheField>
    <cacheField name="Profit" numFmtId="1">
      <sharedItems containsSemiMixedTypes="0" containsString="0" containsNumber="1" minValue="1519.5999999999995" maxValue="186416"/>
    </cacheField>
    <cacheField name="Customer Type" numFmtId="0">
      <sharedItems/>
    </cacheField>
    <cacheField name="Channel" numFmtId="0">
      <sharedItems count="2">
        <s v="Online"/>
        <s v="Offline"/>
      </sharedItems>
    </cacheField>
    <cacheField name="Target" numFmtId="1">
      <sharedItems containsSemiMixedTypes="0" containsString="0" containsNumber="1" minValue="9561.6836143823675" maxValue="1082322.6652455023"/>
    </cacheField>
    <cacheField name="Achievement %" numFmtId="9">
      <sharedItems containsSemiMixedTypes="0" containsString="0" containsNumber="1" minValue="0.77144220056219648" maxValue="1.1051794902495349"/>
    </cacheField>
    <cacheField name="Growth %" numFmtId="0">
      <sharedItems containsMixedTypes="1" containsNumber="1" minValue="-0.96393377268933211" maxValue="63.284867075664621"/>
    </cacheField>
  </cacheFields>
  <extLst>
    <ext xmlns:x14="http://schemas.microsoft.com/office/spreadsheetml/2009/9/main" uri="{725AE2AE-9491-48be-B2B4-4EB974FC3084}">
      <x14:pivotCacheDefinition pivotCacheId="14246032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Chennai"/>
    <x v="0"/>
    <x v="0"/>
    <s v="Laptop"/>
    <n v="5"/>
    <n v="50000"/>
    <n v="250000"/>
    <n v="200000"/>
    <n v="50000"/>
    <s v=" New "/>
    <x v="0"/>
    <n v="300000"/>
    <n v="0.83"/>
    <s v=" -"/>
  </r>
  <r>
    <x v="1"/>
    <x v="0"/>
    <x v="1"/>
    <s v="Mumbai"/>
    <x v="1"/>
    <x v="1"/>
    <s v="Shirt"/>
    <n v="20"/>
    <n v="1000"/>
    <n v="20000"/>
    <n v="12000"/>
    <n v="8000"/>
    <s v=" Existing "/>
    <x v="1"/>
    <n v="25000"/>
    <n v="0.8"/>
    <n v="-0.92"/>
  </r>
  <r>
    <x v="2"/>
    <x v="0"/>
    <x v="2"/>
    <s v="Delhi"/>
    <x v="2"/>
    <x v="0"/>
    <s v="Mobile"/>
    <n v="10"/>
    <n v="20000"/>
    <n v="200000"/>
    <n v="150000"/>
    <n v="50000"/>
    <s v=" New "/>
    <x v="0"/>
    <n v="220000"/>
    <n v="0.91"/>
    <n v="9"/>
  </r>
  <r>
    <x v="3"/>
    <x v="0"/>
    <x v="0"/>
    <s v="Chennai"/>
    <x v="3"/>
    <x v="0"/>
    <s v="Laptop"/>
    <n v="11"/>
    <n v="25100"/>
    <n v="276100"/>
    <n v="220880"/>
    <n v="55220"/>
    <s v="Existing"/>
    <x v="1"/>
    <n v="323734.69191842189"/>
    <n v="0.8528588590980376"/>
    <n v="0.3805"/>
  </r>
  <r>
    <x v="4"/>
    <x v="0"/>
    <x v="3"/>
    <s v="Mumbai"/>
    <x v="4"/>
    <x v="0"/>
    <s v="Mobile"/>
    <n v="15"/>
    <n v="15875"/>
    <n v="238125"/>
    <n v="190500"/>
    <n v="47625"/>
    <s v="New"/>
    <x v="0"/>
    <n v="238764.86814023601"/>
    <n v="0.99732009091111262"/>
    <n v="-0.13754074610648315"/>
  </r>
  <r>
    <x v="5"/>
    <x v="0"/>
    <x v="1"/>
    <s v="Delhi"/>
    <x v="0"/>
    <x v="1"/>
    <s v="Shirt"/>
    <n v="3"/>
    <n v="46450"/>
    <n v="139350"/>
    <n v="111480"/>
    <n v="27870"/>
    <s v="Existing"/>
    <x v="1"/>
    <n v="164471.94163198312"/>
    <n v="0.84725697658391408"/>
    <n v="-0.41480314960629922"/>
  </r>
  <r>
    <x v="6"/>
    <x v="0"/>
    <x v="2"/>
    <s v="Kolkata"/>
    <x v="1"/>
    <x v="2"/>
    <s v="Table"/>
    <n v="4"/>
    <n v="11800"/>
    <n v="47200"/>
    <n v="37760"/>
    <n v="9440"/>
    <s v="New"/>
    <x v="0"/>
    <n v="46624.713363196133"/>
    <n v="1.0123386632390103"/>
    <n v="-0.66128453534266241"/>
  </r>
  <r>
    <x v="7"/>
    <x v="0"/>
    <x v="0"/>
    <s v="Bangalore"/>
    <x v="2"/>
    <x v="0"/>
    <s v="Tablet"/>
    <n v="12"/>
    <n v="40414"/>
    <n v="484968"/>
    <n v="387974.40000000002"/>
    <n v="96993.599999999977"/>
    <s v="Existing"/>
    <x v="1"/>
    <n v="488579.70677565911"/>
    <n v="0.9926077429627721"/>
    <n v="9.2747457627118646"/>
  </r>
  <r>
    <x v="8"/>
    <x v="0"/>
    <x v="3"/>
    <s v="Chennai"/>
    <x v="3"/>
    <x v="0"/>
    <s v="Laptop"/>
    <n v="17"/>
    <n v="21553"/>
    <n v="366401"/>
    <n v="293120.8"/>
    <n v="73280.200000000012"/>
    <s v="New"/>
    <x v="0"/>
    <n v="394832.90142705303"/>
    <n v="0.92799004002885521"/>
    <n v="-0.24448417215156465"/>
  </r>
  <r>
    <x v="9"/>
    <x v="0"/>
    <x v="1"/>
    <s v="Mumbai"/>
    <x v="4"/>
    <x v="0"/>
    <s v="Mobile"/>
    <n v="15"/>
    <n v="30141"/>
    <n v="452115"/>
    <n v="361692"/>
    <n v="90423"/>
    <s v="Existing"/>
    <x v="1"/>
    <n v="451142.04822463525"/>
    <n v="1.0021566417477457"/>
    <n v="0.23393495105089779"/>
  </r>
  <r>
    <x v="10"/>
    <x v="0"/>
    <x v="2"/>
    <s v="Delhi"/>
    <x v="0"/>
    <x v="1"/>
    <s v="Shirt"/>
    <n v="3"/>
    <n v="16952"/>
    <n v="50856"/>
    <n v="40684.800000000003"/>
    <n v="10171.199999999997"/>
    <s v="New"/>
    <x v="0"/>
    <n v="64557.321497985635"/>
    <n v="0.78776502525103753"/>
    <n v="-0.88751534454729442"/>
  </r>
  <r>
    <x v="11"/>
    <x v="0"/>
    <x v="0"/>
    <s v="Kolkata"/>
    <x v="1"/>
    <x v="2"/>
    <s v="Table"/>
    <n v="14"/>
    <n v="22934"/>
    <n v="321076"/>
    <n v="256860.80000000002"/>
    <n v="64215.199999999983"/>
    <s v="Existing"/>
    <x v="1"/>
    <n v="319366.08311402338"/>
    <n v="1.0053540966821017"/>
    <n v="5.3134340097530286"/>
  </r>
  <r>
    <x v="12"/>
    <x v="0"/>
    <x v="3"/>
    <s v="Bangalore"/>
    <x v="2"/>
    <x v="0"/>
    <s v="Tablet"/>
    <n v="10"/>
    <n v="1158"/>
    <n v="11580"/>
    <n v="9264"/>
    <n v="2316"/>
    <s v="New"/>
    <x v="0"/>
    <n v="12510.473552343867"/>
    <n v="0.92562443392324345"/>
    <n v="-0.96393377268933211"/>
  </r>
  <r>
    <x v="13"/>
    <x v="0"/>
    <x v="1"/>
    <s v="Chennai"/>
    <x v="3"/>
    <x v="0"/>
    <s v="Laptop"/>
    <n v="4"/>
    <n v="19249"/>
    <n v="76996"/>
    <n v="61596.800000000003"/>
    <n v="15399.199999999997"/>
    <s v="Existing"/>
    <x v="1"/>
    <n v="69668.321462077918"/>
    <n v="1.1051794902495349"/>
    <n v="5.6490500863557855"/>
  </r>
  <r>
    <x v="14"/>
    <x v="0"/>
    <x v="2"/>
    <s v="Mumbai"/>
    <x v="4"/>
    <x v="0"/>
    <s v="Mobile"/>
    <n v="17"/>
    <n v="28586"/>
    <n v="485962"/>
    <n v="388769.60000000003"/>
    <n v="97192.399999999965"/>
    <s v="New"/>
    <x v="0"/>
    <n v="469700.30849446455"/>
    <n v="1.034621419682817"/>
    <n v="5.3115226765026753"/>
  </r>
  <r>
    <x v="15"/>
    <x v="0"/>
    <x v="0"/>
    <s v="Delhi"/>
    <x v="0"/>
    <x v="1"/>
    <s v="Shirt"/>
    <n v="11"/>
    <n v="28387"/>
    <n v="312257"/>
    <n v="249805.6"/>
    <n v="62451.399999999994"/>
    <s v="Existing"/>
    <x v="1"/>
    <n v="399168.53379869129"/>
    <n v="0.78226857470052358"/>
    <n v="-0.35744564389808259"/>
  </r>
  <r>
    <x v="16"/>
    <x v="0"/>
    <x v="3"/>
    <s v="Kolkata"/>
    <x v="1"/>
    <x v="2"/>
    <s v="Table"/>
    <n v="3"/>
    <n v="21023"/>
    <n v="63069"/>
    <n v="50455.200000000004"/>
    <n v="12613.799999999996"/>
    <s v="New"/>
    <x v="0"/>
    <n v="62641.171133458898"/>
    <n v="1.0068298350557592"/>
    <n v="-0.79802214201763289"/>
  </r>
  <r>
    <x v="17"/>
    <x v="0"/>
    <x v="1"/>
    <s v="Bangalore"/>
    <x v="2"/>
    <x v="0"/>
    <s v="Tablet"/>
    <n v="13"/>
    <n v="6565"/>
    <n v="85345"/>
    <n v="68276"/>
    <n v="17069"/>
    <s v="Existing"/>
    <x v="1"/>
    <n v="96762.850325160689"/>
    <n v="0.88200171567091823"/>
    <n v="0.3532004629849847"/>
  </r>
  <r>
    <x v="18"/>
    <x v="0"/>
    <x v="2"/>
    <s v="Chennai"/>
    <x v="3"/>
    <x v="0"/>
    <s v="Laptop"/>
    <n v="14"/>
    <n v="19022"/>
    <n v="266308"/>
    <n v="213046.40000000002"/>
    <n v="53261.599999999977"/>
    <s v="New"/>
    <x v="0"/>
    <n v="245694.31054968794"/>
    <n v="1.0838997427502224"/>
    <n v="2.1203702618782589"/>
  </r>
  <r>
    <x v="19"/>
    <x v="0"/>
    <x v="0"/>
    <s v="Mumbai"/>
    <x v="4"/>
    <x v="0"/>
    <s v="Mobile"/>
    <n v="19"/>
    <n v="4317"/>
    <n v="82023"/>
    <n v="65618.400000000009"/>
    <n v="16404.599999999991"/>
    <s v="Existing"/>
    <x v="1"/>
    <n v="105843.25494904013"/>
    <n v="0.77494782298117382"/>
    <n v="-0.69199948931312616"/>
  </r>
  <r>
    <x v="20"/>
    <x v="0"/>
    <x v="3"/>
    <s v="Delhi"/>
    <x v="0"/>
    <x v="1"/>
    <s v="Shirt"/>
    <n v="11"/>
    <n v="33316"/>
    <n v="366476"/>
    <n v="293180.79999999999"/>
    <n v="73295.200000000012"/>
    <s v="New"/>
    <x v="0"/>
    <n v="399165.301688576"/>
    <n v="0.9181058535140918"/>
    <n v="3.4679663021347671"/>
  </r>
  <r>
    <x v="21"/>
    <x v="0"/>
    <x v="1"/>
    <s v="Kolkata"/>
    <x v="1"/>
    <x v="2"/>
    <s v="Table"/>
    <n v="7"/>
    <n v="48287"/>
    <n v="338009"/>
    <n v="270407.2"/>
    <n v="67601.799999999988"/>
    <s v="Existing"/>
    <x v="1"/>
    <n v="335582.28726351017"/>
    <n v="1.0072313492952156"/>
    <n v="-7.7677665113131553E-2"/>
  </r>
  <r>
    <x v="22"/>
    <x v="0"/>
    <x v="2"/>
    <s v="Bangalore"/>
    <x v="2"/>
    <x v="0"/>
    <s v="Tablet"/>
    <n v="12"/>
    <n v="28677"/>
    <n v="344124"/>
    <n v="275299.20000000001"/>
    <n v="68824.799999999988"/>
    <s v="New"/>
    <x v="0"/>
    <n v="343872.51451680175"/>
    <n v="1.0007313334813968"/>
    <n v="1.8091234257075994E-2"/>
  </r>
  <r>
    <x v="23"/>
    <x v="0"/>
    <x v="0"/>
    <s v="Chennai"/>
    <x v="3"/>
    <x v="0"/>
    <s v="Laptop"/>
    <n v="1"/>
    <n v="30818"/>
    <n v="30818"/>
    <n v="24654.400000000001"/>
    <n v="6163.5999999999985"/>
    <s v="Existing"/>
    <x v="1"/>
    <n v="32946.588327990597"/>
    <n v="0.93539275427245971"/>
    <n v="-0.91044507212516423"/>
  </r>
  <r>
    <x v="24"/>
    <x v="0"/>
    <x v="3"/>
    <s v="Mumbai"/>
    <x v="4"/>
    <x v="0"/>
    <s v="Mobile"/>
    <n v="11"/>
    <n v="25664"/>
    <n v="282304"/>
    <n v="225843.20000000001"/>
    <n v="56460.799999999988"/>
    <s v="New"/>
    <x v="0"/>
    <n v="362810.4717588441"/>
    <n v="0.7781032301284958"/>
    <n v="8.160360828087482"/>
  </r>
  <r>
    <x v="25"/>
    <x v="0"/>
    <x v="1"/>
    <s v="Delhi"/>
    <x v="0"/>
    <x v="1"/>
    <s v="Shirt"/>
    <n v="2"/>
    <n v="36369"/>
    <n v="72738"/>
    <n v="58190.400000000001"/>
    <n v="14547.599999999999"/>
    <s v="Existing"/>
    <x v="1"/>
    <n v="69512.567394710117"/>
    <n v="1.0464007117874823"/>
    <n v="-0.74234158920879623"/>
  </r>
  <r>
    <x v="26"/>
    <x v="0"/>
    <x v="2"/>
    <s v="Kolkata"/>
    <x v="1"/>
    <x v="2"/>
    <s v="Table"/>
    <n v="19"/>
    <n v="14404"/>
    <n v="273676"/>
    <n v="218940.80000000002"/>
    <n v="54735.199999999983"/>
    <s v="New"/>
    <x v="0"/>
    <n v="253167.44615749817"/>
    <n v="1.0810078631900535"/>
    <n v="2.7624900327201738"/>
  </r>
  <r>
    <x v="27"/>
    <x v="0"/>
    <x v="0"/>
    <s v="Bangalore"/>
    <x v="2"/>
    <x v="0"/>
    <s v="Tablet"/>
    <n v="12"/>
    <n v="11388"/>
    <n v="136656"/>
    <n v="109324.8"/>
    <n v="27331.199999999997"/>
    <s v="Existing"/>
    <x v="1"/>
    <n v="133940.39671777838"/>
    <n v="1.0202747143413617"/>
    <n v="-0.50066501995059853"/>
  </r>
  <r>
    <x v="28"/>
    <x v="0"/>
    <x v="3"/>
    <s v="Chennai"/>
    <x v="3"/>
    <x v="0"/>
    <s v="Laptop"/>
    <n v="19"/>
    <n v="9367"/>
    <n v="177973"/>
    <n v="142378.4"/>
    <n v="35594.600000000006"/>
    <s v="New"/>
    <x v="0"/>
    <n v="230125.49368825389"/>
    <n v="0.77337368036718368"/>
    <n v="0.30234310970612338"/>
  </r>
  <r>
    <x v="29"/>
    <x v="0"/>
    <x v="1"/>
    <s v="Mumbai"/>
    <x v="4"/>
    <x v="0"/>
    <s v="Mobile"/>
    <n v="15"/>
    <n v="19329"/>
    <n v="289935"/>
    <n v="231948"/>
    <n v="57987"/>
    <s v="Existing"/>
    <x v="1"/>
    <n v="321755.51118005218"/>
    <n v="0.90110344632995065"/>
    <n v="0.62909542458687551"/>
  </r>
  <r>
    <x v="30"/>
    <x v="0"/>
    <x v="2"/>
    <s v="Delhi"/>
    <x v="0"/>
    <x v="1"/>
    <s v="Shirt"/>
    <n v="11"/>
    <n v="2444"/>
    <n v="26884"/>
    <n v="21507.200000000001"/>
    <n v="5376.7999999999993"/>
    <s v="New"/>
    <x v="0"/>
    <n v="26039.856101463774"/>
    <n v="1.032417379544919"/>
    <n v="-0.90727576870677906"/>
  </r>
  <r>
    <x v="31"/>
    <x v="0"/>
    <x v="0"/>
    <s v="Kolkata"/>
    <x v="1"/>
    <x v="2"/>
    <s v="Table"/>
    <n v="7"/>
    <n v="26445"/>
    <n v="185115"/>
    <n v="148092"/>
    <n v="37023"/>
    <s v="Existing"/>
    <x v="1"/>
    <n v="203577.70305822187"/>
    <n v="0.90930881535223107"/>
    <n v="5.8856940931409021"/>
  </r>
  <r>
    <x v="32"/>
    <x v="0"/>
    <x v="3"/>
    <s v="Bangalore"/>
    <x v="2"/>
    <x v="0"/>
    <s v="Tablet"/>
    <n v="11"/>
    <n v="13750"/>
    <n v="151250"/>
    <n v="121000"/>
    <n v="30250"/>
    <s v="New"/>
    <x v="0"/>
    <n v="185310.50529855961"/>
    <n v="0.81619765569316394"/>
    <n v="-0.18294033438673257"/>
  </r>
  <r>
    <x v="33"/>
    <x v="0"/>
    <x v="1"/>
    <s v="Chennai"/>
    <x v="3"/>
    <x v="0"/>
    <s v="Laptop"/>
    <n v="6"/>
    <n v="13980"/>
    <n v="83880"/>
    <n v="67104"/>
    <n v="16776"/>
    <s v="Existing"/>
    <x v="1"/>
    <n v="86481.256624565096"/>
    <n v="0.96992115140211543"/>
    <n v="-0.4454214876033058"/>
  </r>
  <r>
    <x v="34"/>
    <x v="1"/>
    <x v="2"/>
    <s v="Mumbai"/>
    <x v="4"/>
    <x v="0"/>
    <s v="Mobile"/>
    <n v="8"/>
    <n v="46175"/>
    <n v="369400"/>
    <n v="295520"/>
    <n v="73880"/>
    <s v="New"/>
    <x v="0"/>
    <n v="458541.21221893869"/>
    <n v="0.80559825410768826"/>
    <n v="3.4039103481163568"/>
  </r>
  <r>
    <x v="35"/>
    <x v="1"/>
    <x v="0"/>
    <s v="Delhi"/>
    <x v="0"/>
    <x v="1"/>
    <s v="Shirt"/>
    <n v="5"/>
    <n v="30283"/>
    <n v="151415"/>
    <n v="121132"/>
    <n v="30283"/>
    <s v="Existing"/>
    <x v="1"/>
    <n v="196275.23603149367"/>
    <n v="0.77144220056219648"/>
    <n v="-0.59010557661072005"/>
  </r>
  <r>
    <x v="36"/>
    <x v="1"/>
    <x v="3"/>
    <s v="Kolkata"/>
    <x v="1"/>
    <x v="2"/>
    <s v="Table"/>
    <n v="5"/>
    <n v="26711"/>
    <n v="133555"/>
    <n v="106844"/>
    <n v="26711"/>
    <s v="New"/>
    <x v="0"/>
    <n v="166300.29508248006"/>
    <n v="0.80309538797727709"/>
    <n v="-0.11795396757256546"/>
  </r>
  <r>
    <x v="37"/>
    <x v="1"/>
    <x v="1"/>
    <s v="Bangalore"/>
    <x v="2"/>
    <x v="0"/>
    <s v="Tablet"/>
    <n v="17"/>
    <n v="31867"/>
    <n v="541739"/>
    <n v="433391.2"/>
    <n v="108347.79999999999"/>
    <s v="Existing"/>
    <x v="1"/>
    <n v="563582.89632161264"/>
    <n v="0.9612410233451314"/>
    <n v="3.0562989030736403"/>
  </r>
  <r>
    <x v="38"/>
    <x v="1"/>
    <x v="2"/>
    <s v="Chennai"/>
    <x v="3"/>
    <x v="0"/>
    <s v="Laptop"/>
    <n v="18"/>
    <n v="43337"/>
    <n v="780066"/>
    <n v="624052.80000000005"/>
    <n v="156013.19999999995"/>
    <s v="New"/>
    <x v="0"/>
    <n v="961935.71008486871"/>
    <n v="0.81093361211340942"/>
    <n v="0.43992956017565654"/>
  </r>
  <r>
    <x v="39"/>
    <x v="1"/>
    <x v="0"/>
    <s v="Mumbai"/>
    <x v="4"/>
    <x v="0"/>
    <s v="Mobile"/>
    <n v="15"/>
    <n v="8094"/>
    <n v="121410"/>
    <n v="97128"/>
    <n v="24282"/>
    <s v="Existing"/>
    <x v="1"/>
    <n v="117007.48955896527"/>
    <n v="1.0376258858097807"/>
    <n v="-0.8443593234418626"/>
  </r>
  <r>
    <x v="40"/>
    <x v="1"/>
    <x v="3"/>
    <s v="Delhi"/>
    <x v="0"/>
    <x v="1"/>
    <s v="Shirt"/>
    <n v="8"/>
    <n v="34763"/>
    <n v="278104"/>
    <n v="222483.20000000001"/>
    <n v="55620.799999999988"/>
    <s v="New"/>
    <x v="0"/>
    <n v="290370.38419576874"/>
    <n v="0.95775607684735953"/>
    <n v="1.2906185651923234"/>
  </r>
  <r>
    <x v="41"/>
    <x v="1"/>
    <x v="1"/>
    <s v="Kolkata"/>
    <x v="1"/>
    <x v="2"/>
    <s v="Table"/>
    <n v="14"/>
    <n v="8150"/>
    <n v="114100"/>
    <n v="91280"/>
    <n v="22820"/>
    <s v="Existing"/>
    <x v="1"/>
    <n v="137455.06110686727"/>
    <n v="0.83008947856267434"/>
    <n v="-0.58972183068204698"/>
  </r>
  <r>
    <x v="42"/>
    <x v="1"/>
    <x v="2"/>
    <s v="Bangalore"/>
    <x v="2"/>
    <x v="0"/>
    <s v="Tablet"/>
    <n v="20"/>
    <n v="23494"/>
    <n v="469880"/>
    <n v="375904"/>
    <n v="93976"/>
    <s v="New"/>
    <x v="0"/>
    <n v="521779.45010241441"/>
    <n v="0.90053374065953029"/>
    <n v="3.1181419807186677"/>
  </r>
  <r>
    <x v="43"/>
    <x v="1"/>
    <x v="0"/>
    <s v="Chennai"/>
    <x v="3"/>
    <x v="0"/>
    <s v="Laptop"/>
    <n v="20"/>
    <n v="16396"/>
    <n v="327920"/>
    <n v="262336"/>
    <n v="65584"/>
    <s v="Existing"/>
    <x v="1"/>
    <n v="422949.23613262502"/>
    <n v="0.77531763149271526"/>
    <n v="-0.30211969013365114"/>
  </r>
  <r>
    <x v="44"/>
    <x v="1"/>
    <x v="3"/>
    <s v="Mumbai"/>
    <x v="4"/>
    <x v="0"/>
    <s v="Mobile"/>
    <n v="3"/>
    <n v="5710"/>
    <n v="17130"/>
    <n v="13704"/>
    <n v="3426"/>
    <s v="New"/>
    <x v="0"/>
    <n v="22200.611264380728"/>
    <n v="0.77160037604387244"/>
    <n v="-0.94776164918272754"/>
  </r>
  <r>
    <x v="45"/>
    <x v="1"/>
    <x v="1"/>
    <s v="Delhi"/>
    <x v="0"/>
    <x v="1"/>
    <s v="Shirt"/>
    <n v="6"/>
    <n v="25942"/>
    <n v="155652"/>
    <n v="124521.60000000001"/>
    <n v="31130.399999999994"/>
    <s v="Existing"/>
    <x v="1"/>
    <n v="197300.0326857114"/>
    <n v="0.78891015820532306"/>
    <n v="8.0865148861646237"/>
  </r>
  <r>
    <x v="46"/>
    <x v="1"/>
    <x v="2"/>
    <s v="Kolkata"/>
    <x v="1"/>
    <x v="2"/>
    <s v="Table"/>
    <n v="12"/>
    <n v="25808"/>
    <n v="309696"/>
    <n v="247756.80000000002"/>
    <n v="61939.199999999983"/>
    <s v="New"/>
    <x v="0"/>
    <n v="380218.31804204162"/>
    <n v="0.81452151383657478"/>
    <n v="0.98966926220029294"/>
  </r>
  <r>
    <x v="47"/>
    <x v="1"/>
    <x v="0"/>
    <s v="Bangalore"/>
    <x v="2"/>
    <x v="0"/>
    <s v="Tablet"/>
    <n v="12"/>
    <n v="41190"/>
    <n v="494280"/>
    <n v="395424"/>
    <n v="98856"/>
    <s v="Existing"/>
    <x v="1"/>
    <n v="500542.11431087466"/>
    <n v="0.9874893357984551"/>
    <n v="0.59601673899566021"/>
  </r>
  <r>
    <x v="48"/>
    <x v="1"/>
    <x v="3"/>
    <s v="Chennai"/>
    <x v="3"/>
    <x v="0"/>
    <s v="Laptop"/>
    <n v="15"/>
    <n v="5123"/>
    <n v="76845"/>
    <n v="61476"/>
    <n v="15369"/>
    <s v="New"/>
    <x v="0"/>
    <n v="86980.20519145827"/>
    <n v="0.88347687650139528"/>
    <n v="-0.8445314396698228"/>
  </r>
  <r>
    <x v="49"/>
    <x v="1"/>
    <x v="1"/>
    <s v="Mumbai"/>
    <x v="4"/>
    <x v="0"/>
    <s v="Mobile"/>
    <n v="9"/>
    <n v="8958"/>
    <n v="80622"/>
    <n v="64497.600000000006"/>
    <n v="16124.399999999994"/>
    <s v="Existing"/>
    <x v="1"/>
    <n v="84318.924051232563"/>
    <n v="0.9561554645907685"/>
    <n v="4.9150888151473747E-2"/>
  </r>
  <r>
    <x v="50"/>
    <x v="1"/>
    <x v="2"/>
    <s v="Delhi"/>
    <x v="0"/>
    <x v="1"/>
    <s v="Shirt"/>
    <n v="1"/>
    <n v="38522"/>
    <n v="38522"/>
    <n v="30817.600000000002"/>
    <n v="7704.3999999999978"/>
    <s v="New"/>
    <x v="0"/>
    <n v="44281.050039224181"/>
    <n v="0.8699432367994252"/>
    <n v="-0.52218997296023417"/>
  </r>
  <r>
    <x v="51"/>
    <x v="1"/>
    <x v="0"/>
    <s v="Kolkata"/>
    <x v="1"/>
    <x v="2"/>
    <s v="Table"/>
    <n v="4"/>
    <n v="2445"/>
    <n v="9780"/>
    <n v="7824"/>
    <n v="1956"/>
    <s v="Existing"/>
    <x v="1"/>
    <n v="10182.598876356173"/>
    <n v="0.96046207051413945"/>
    <n v="-0.7461191007735839"/>
  </r>
  <r>
    <x v="52"/>
    <x v="1"/>
    <x v="3"/>
    <s v="Bangalore"/>
    <x v="2"/>
    <x v="0"/>
    <s v="Tablet"/>
    <n v="13"/>
    <n v="48362"/>
    <n v="628706"/>
    <n v="502964.80000000005"/>
    <n v="125741.19999999995"/>
    <s v="New"/>
    <x v="0"/>
    <n v="675016.98697879899"/>
    <n v="0.9313928569619041"/>
    <n v="63.284867075664621"/>
  </r>
  <r>
    <x v="53"/>
    <x v="1"/>
    <x v="1"/>
    <s v="Chennai"/>
    <x v="3"/>
    <x v="0"/>
    <s v="Laptop"/>
    <n v="8"/>
    <n v="11746"/>
    <n v="93968"/>
    <n v="75174.400000000009"/>
    <n v="18793.599999999991"/>
    <s v="Existing"/>
    <x v="1"/>
    <n v="95907.886451336686"/>
    <n v="0.97977344175631498"/>
    <n v="-0.85053745311799156"/>
  </r>
  <r>
    <x v="54"/>
    <x v="1"/>
    <x v="2"/>
    <s v="Mumbai"/>
    <x v="4"/>
    <x v="0"/>
    <s v="Mobile"/>
    <n v="11"/>
    <n v="4761"/>
    <n v="52371"/>
    <n v="41896.800000000003"/>
    <n v="10474.199999999997"/>
    <s v="New"/>
    <x v="0"/>
    <n v="60332.72829547718"/>
    <n v="0.86803632919623774"/>
    <n v="-0.44267197343776604"/>
  </r>
  <r>
    <x v="55"/>
    <x v="1"/>
    <x v="0"/>
    <s v="Delhi"/>
    <x v="0"/>
    <x v="1"/>
    <s v="Shirt"/>
    <n v="9"/>
    <n v="26664"/>
    <n v="239976"/>
    <n v="191980.80000000002"/>
    <n v="47995.199999999983"/>
    <s v="Existing"/>
    <x v="1"/>
    <n v="303412.17002120445"/>
    <n v="0.79092410822950476"/>
    <n v="3.5822306238185253"/>
  </r>
  <r>
    <x v="56"/>
    <x v="1"/>
    <x v="3"/>
    <s v="Kolkata"/>
    <x v="1"/>
    <x v="2"/>
    <s v="Table"/>
    <n v="4"/>
    <n v="20634"/>
    <n v="82536"/>
    <n v="66028.800000000003"/>
    <n v="16507.199999999997"/>
    <s v="New"/>
    <x v="0"/>
    <n v="92405.098383543445"/>
    <n v="0.89319746901215302"/>
    <n v="-0.65606560656065604"/>
  </r>
  <r>
    <x v="57"/>
    <x v="1"/>
    <x v="1"/>
    <s v="Bangalore"/>
    <x v="2"/>
    <x v="0"/>
    <s v="Tablet"/>
    <n v="20"/>
    <n v="4653"/>
    <n v="93060"/>
    <n v="74448"/>
    <n v="18612"/>
    <s v="Existing"/>
    <x v="1"/>
    <n v="111259.87624711104"/>
    <n v="0.83642012861232518"/>
    <n v="0.12750799651061356"/>
  </r>
  <r>
    <x v="58"/>
    <x v="1"/>
    <x v="2"/>
    <s v="Chennai"/>
    <x v="3"/>
    <x v="0"/>
    <s v="Laptop"/>
    <n v="14"/>
    <n v="5606"/>
    <n v="78484"/>
    <n v="62787.200000000004"/>
    <n v="15696.799999999996"/>
    <s v="New"/>
    <x v="0"/>
    <n v="83901.697133166308"/>
    <n v="0.93542803878487113"/>
    <n v="-0.15663013109821619"/>
  </r>
  <r>
    <x v="59"/>
    <x v="1"/>
    <x v="0"/>
    <s v="Mumbai"/>
    <x v="4"/>
    <x v="0"/>
    <s v="Mobile"/>
    <n v="19"/>
    <n v="1334"/>
    <n v="25346"/>
    <n v="20276.800000000003"/>
    <n v="5069.1999999999971"/>
    <s v="Existing"/>
    <x v="1"/>
    <n v="30372.323874611138"/>
    <n v="0.83450973671419504"/>
    <n v="-0.67705519596350849"/>
  </r>
  <r>
    <x v="60"/>
    <x v="1"/>
    <x v="3"/>
    <s v="Delhi"/>
    <x v="0"/>
    <x v="1"/>
    <s v="Shirt"/>
    <n v="17"/>
    <n v="16674"/>
    <n v="283458"/>
    <n v="226766.40000000002"/>
    <n v="56691.599999999977"/>
    <s v="New"/>
    <x v="0"/>
    <n v="314775.65262699907"/>
    <n v="0.90050802098055005"/>
    <n v="10.183539809042847"/>
  </r>
  <r>
    <x v="61"/>
    <x v="1"/>
    <x v="1"/>
    <s v="Kolkata"/>
    <x v="1"/>
    <x v="2"/>
    <s v="Table"/>
    <n v="13"/>
    <n v="37952"/>
    <n v="493376"/>
    <n v="394700.80000000005"/>
    <n v="98675.199999999953"/>
    <s v="Existing"/>
    <x v="1"/>
    <n v="568360.87710660766"/>
    <n v="0.8680681937709398"/>
    <n v="0.74056121189029767"/>
  </r>
  <r>
    <x v="62"/>
    <x v="2"/>
    <x v="2"/>
    <s v="Bangalore"/>
    <x v="2"/>
    <x v="0"/>
    <s v="Tablet"/>
    <n v="10"/>
    <n v="26984"/>
    <n v="269840"/>
    <n v="215872"/>
    <n v="53968"/>
    <s v="New"/>
    <x v="0"/>
    <n v="268334.0339662949"/>
    <n v="1.0056122811238111"/>
    <n v="-0.45307432870670644"/>
  </r>
  <r>
    <x v="63"/>
    <x v="2"/>
    <x v="0"/>
    <s v="Chennai"/>
    <x v="3"/>
    <x v="0"/>
    <s v="Laptop"/>
    <n v="12"/>
    <n v="21036"/>
    <n v="252432"/>
    <n v="201945.60000000001"/>
    <n v="50486.399999999994"/>
    <s v="Existing"/>
    <x v="1"/>
    <n v="312081.72624123166"/>
    <n v="0.80886504647464086"/>
    <n v="-6.4512303587310998E-2"/>
  </r>
  <r>
    <x v="64"/>
    <x v="2"/>
    <x v="3"/>
    <s v="Mumbai"/>
    <x v="4"/>
    <x v="0"/>
    <s v="Mobile"/>
    <n v="13"/>
    <n v="8761"/>
    <n v="113893"/>
    <n v="91114.400000000009"/>
    <n v="22778.599999999991"/>
    <s v="New"/>
    <x v="0"/>
    <n v="141645.64152260465"/>
    <n v="0.80406992248910303"/>
    <n v="-0.54881710718133991"/>
  </r>
  <r>
    <x v="65"/>
    <x v="2"/>
    <x v="1"/>
    <s v="Delhi"/>
    <x v="0"/>
    <x v="1"/>
    <s v="Shirt"/>
    <n v="19"/>
    <n v="44136"/>
    <n v="838584"/>
    <n v="670867.20000000007"/>
    <n v="167716.79999999993"/>
    <s v="Existing"/>
    <x v="1"/>
    <n v="887845.39189687034"/>
    <n v="0.94451579931994245"/>
    <n v="6.3629108022442118"/>
  </r>
  <r>
    <x v="66"/>
    <x v="2"/>
    <x v="2"/>
    <s v="Kolkata"/>
    <x v="1"/>
    <x v="2"/>
    <s v="Table"/>
    <n v="5"/>
    <n v="22069"/>
    <n v="110345"/>
    <n v="88276"/>
    <n v="22069"/>
    <s v="New"/>
    <x v="0"/>
    <n v="123120.37477479895"/>
    <n v="0.89623671306908748"/>
    <n v="-0.86841509019966989"/>
  </r>
  <r>
    <x v="67"/>
    <x v="2"/>
    <x v="0"/>
    <s v="Bangalore"/>
    <x v="2"/>
    <x v="0"/>
    <s v="Tablet"/>
    <n v="13"/>
    <n v="4065"/>
    <n v="52845"/>
    <n v="42276"/>
    <n v="10569"/>
    <s v="Existing"/>
    <x v="1"/>
    <n v="53962.215514500735"/>
    <n v="0.97929633718985243"/>
    <n v="-0.52109293579228777"/>
  </r>
  <r>
    <x v="68"/>
    <x v="2"/>
    <x v="3"/>
    <s v="Chennai"/>
    <x v="3"/>
    <x v="0"/>
    <s v="Laptop"/>
    <n v="10"/>
    <n v="19090"/>
    <n v="190900"/>
    <n v="152720"/>
    <n v="38180"/>
    <s v="New"/>
    <x v="0"/>
    <n v="179545.23036138917"/>
    <n v="1.0632418339142506"/>
    <n v="2.6124515091304761"/>
  </r>
  <r>
    <x v="69"/>
    <x v="2"/>
    <x v="1"/>
    <s v="Mumbai"/>
    <x v="4"/>
    <x v="0"/>
    <s v="Mobile"/>
    <n v="14"/>
    <n v="10415"/>
    <n v="145810"/>
    <n v="116648"/>
    <n v="29162"/>
    <s v="Existing"/>
    <x v="1"/>
    <n v="133608.97219525898"/>
    <n v="1.0913189256999163"/>
    <n v="-0.23619696176008381"/>
  </r>
  <r>
    <x v="70"/>
    <x v="2"/>
    <x v="2"/>
    <s v="Delhi"/>
    <x v="0"/>
    <x v="1"/>
    <s v="Shirt"/>
    <n v="10"/>
    <n v="45613"/>
    <n v="456130"/>
    <n v="364904"/>
    <n v="91226"/>
    <s v="New"/>
    <x v="0"/>
    <n v="468214.74818899605"/>
    <n v="0.97418973187893254"/>
    <n v="2.1282490912831769"/>
  </r>
  <r>
    <x v="71"/>
    <x v="2"/>
    <x v="0"/>
    <s v="Kolkata"/>
    <x v="1"/>
    <x v="2"/>
    <s v="Table"/>
    <n v="15"/>
    <n v="2108"/>
    <n v="31620"/>
    <n v="25296"/>
    <n v="6324"/>
    <s v="Existing"/>
    <x v="1"/>
    <n v="40220.935994572559"/>
    <n v="0.78615773646507936"/>
    <n v="-0.93067765768530897"/>
  </r>
  <r>
    <x v="72"/>
    <x v="2"/>
    <x v="3"/>
    <s v="Bangalore"/>
    <x v="2"/>
    <x v="0"/>
    <s v="Tablet"/>
    <n v="13"/>
    <n v="4852"/>
    <n v="63076"/>
    <n v="50460.800000000003"/>
    <n v="12615.199999999997"/>
    <s v="New"/>
    <x v="0"/>
    <n v="80585.146040039821"/>
    <n v="0.7827248953381537"/>
    <n v="0.99481340923466166"/>
  </r>
  <r>
    <x v="73"/>
    <x v="2"/>
    <x v="1"/>
    <s v="Chennai"/>
    <x v="3"/>
    <x v="0"/>
    <s v="Laptop"/>
    <n v="17"/>
    <n v="1508"/>
    <n v="25636"/>
    <n v="20508.800000000003"/>
    <n v="5127.1999999999971"/>
    <s v="Existing"/>
    <x v="1"/>
    <n v="32133.583482713231"/>
    <n v="0.79779461925842443"/>
    <n v="-0.59356966199505357"/>
  </r>
  <r>
    <x v="74"/>
    <x v="2"/>
    <x v="2"/>
    <s v="Mumbai"/>
    <x v="4"/>
    <x v="0"/>
    <s v="Mobile"/>
    <n v="15"/>
    <n v="5493"/>
    <n v="82395"/>
    <n v="65916"/>
    <n v="16479"/>
    <s v="New"/>
    <x v="0"/>
    <n v="77190.694907543439"/>
    <n v="1.0674214048557291"/>
    <n v="2.2140349508503667"/>
  </r>
  <r>
    <x v="75"/>
    <x v="2"/>
    <x v="0"/>
    <s v="Delhi"/>
    <x v="0"/>
    <x v="1"/>
    <s v="Shirt"/>
    <n v="9"/>
    <n v="21144"/>
    <n v="190296"/>
    <n v="152236.80000000002"/>
    <n v="38059.199999999983"/>
    <s v="Existing"/>
    <x v="1"/>
    <n v="177093.6020449191"/>
    <n v="1.0745503948343214"/>
    <n v="1.3095576187875477"/>
  </r>
  <r>
    <x v="76"/>
    <x v="2"/>
    <x v="3"/>
    <s v="Kolkata"/>
    <x v="1"/>
    <x v="2"/>
    <s v="Table"/>
    <n v="5"/>
    <n v="19482"/>
    <n v="97410"/>
    <n v="77928"/>
    <n v="19482"/>
    <s v="New"/>
    <x v="0"/>
    <n v="115104.66894101619"/>
    <n v="0.84627323023635481"/>
    <n v="-0.48811325513936182"/>
  </r>
  <r>
    <x v="77"/>
    <x v="2"/>
    <x v="1"/>
    <s v="Bangalore"/>
    <x v="2"/>
    <x v="0"/>
    <s v="Tablet"/>
    <n v="5"/>
    <n v="12313"/>
    <n v="61565"/>
    <n v="49252"/>
    <n v="12313"/>
    <s v="Existing"/>
    <x v="1"/>
    <n v="66537.062702469862"/>
    <n v="0.92527378726194809"/>
    <n v="-0.36798070013345652"/>
  </r>
  <r>
    <x v="78"/>
    <x v="2"/>
    <x v="2"/>
    <s v="Chennai"/>
    <x v="3"/>
    <x v="0"/>
    <s v="Laptop"/>
    <n v="12"/>
    <n v="39334"/>
    <n v="472008"/>
    <n v="377606.40000000002"/>
    <n v="94401.599999999977"/>
    <s v="New"/>
    <x v="0"/>
    <n v="562233.01248775003"/>
    <n v="0.83952380866337717"/>
    <n v="6.6668236822870135"/>
  </r>
  <r>
    <x v="79"/>
    <x v="2"/>
    <x v="0"/>
    <s v="Mumbai"/>
    <x v="4"/>
    <x v="0"/>
    <s v="Mobile"/>
    <n v="17"/>
    <n v="31496"/>
    <n v="535432"/>
    <n v="428345.60000000003"/>
    <n v="107086.39999999997"/>
    <s v="Existing"/>
    <x v="1"/>
    <n v="668738.90501954744"/>
    <n v="0.80065926474600602"/>
    <n v="0.13437060388806971"/>
  </r>
  <r>
    <x v="80"/>
    <x v="2"/>
    <x v="3"/>
    <s v="Delhi"/>
    <x v="0"/>
    <x v="1"/>
    <s v="Shirt"/>
    <n v="20"/>
    <n v="27828"/>
    <n v="556560"/>
    <n v="445248"/>
    <n v="111312"/>
    <s v="New"/>
    <x v="0"/>
    <n v="673863.17547934398"/>
    <n v="0.82592434228817768"/>
    <n v="3.9459725978275483E-2"/>
  </r>
  <r>
    <x v="81"/>
    <x v="2"/>
    <x v="1"/>
    <s v="Kolkata"/>
    <x v="1"/>
    <x v="2"/>
    <s v="Table"/>
    <n v="16"/>
    <n v="25841"/>
    <n v="413456"/>
    <n v="330764.80000000005"/>
    <n v="82691.199999999953"/>
    <s v="Existing"/>
    <x v="1"/>
    <n v="392545.39813744585"/>
    <n v="1.0532692574203417"/>
    <n v="-0.25712232284030473"/>
  </r>
  <r>
    <x v="82"/>
    <x v="2"/>
    <x v="2"/>
    <s v="Bangalore"/>
    <x v="2"/>
    <x v="0"/>
    <s v="Tablet"/>
    <n v="9"/>
    <n v="23450"/>
    <n v="211050"/>
    <n v="168840"/>
    <n v="42210"/>
    <s v="New"/>
    <x v="0"/>
    <n v="272730.55564942257"/>
    <n v="0.77384068498467429"/>
    <n v="-0.48954665067141362"/>
  </r>
  <r>
    <x v="83"/>
    <x v="2"/>
    <x v="0"/>
    <s v="Chennai"/>
    <x v="3"/>
    <x v="0"/>
    <s v="Laptop"/>
    <n v="17"/>
    <n v="5089"/>
    <n v="86513"/>
    <n v="69210.400000000009"/>
    <n v="17302.599999999991"/>
    <s v="Existing"/>
    <x v="1"/>
    <n v="92497.298088257157"/>
    <n v="0.93530299574213305"/>
    <n v="-0.59008291873963514"/>
  </r>
  <r>
    <x v="84"/>
    <x v="2"/>
    <x v="3"/>
    <s v="Mumbai"/>
    <x v="4"/>
    <x v="0"/>
    <s v="Mobile"/>
    <n v="20"/>
    <n v="27426"/>
    <n v="548520"/>
    <n v="438816"/>
    <n v="109704"/>
    <s v="New"/>
    <x v="0"/>
    <n v="533603.86881411367"/>
    <n v="1.0279535664144193"/>
    <n v="5.340318796019095"/>
  </r>
  <r>
    <x v="85"/>
    <x v="2"/>
    <x v="1"/>
    <s v="Delhi"/>
    <x v="0"/>
    <x v="1"/>
    <s v="Shirt"/>
    <n v="16"/>
    <n v="2049"/>
    <n v="32784"/>
    <n v="26227.200000000001"/>
    <n v="6556.7999999999993"/>
    <s v="Existing"/>
    <x v="1"/>
    <n v="33220.262141854604"/>
    <n v="0.98686758882299874"/>
    <n v="-0.94023189674031937"/>
  </r>
  <r>
    <x v="86"/>
    <x v="2"/>
    <x v="2"/>
    <s v="Kolkata"/>
    <x v="1"/>
    <x v="2"/>
    <s v="Table"/>
    <n v="20"/>
    <n v="46604"/>
    <n v="932080"/>
    <n v="745664"/>
    <n v="186416"/>
    <s v="New"/>
    <x v="0"/>
    <n v="1082322.6652455023"/>
    <n v="0.86118495891294777"/>
    <n v="27.430941922889215"/>
  </r>
  <r>
    <x v="87"/>
    <x v="2"/>
    <x v="0"/>
    <s v="Bangalore"/>
    <x v="2"/>
    <x v="0"/>
    <s v="Tablet"/>
    <n v="2"/>
    <n v="22810"/>
    <n v="45620"/>
    <n v="36496"/>
    <n v="9124"/>
    <s v="Existing"/>
    <x v="1"/>
    <n v="58835.271022123074"/>
    <n v="0.77538522738930016"/>
    <n v="-0.95105570337310097"/>
  </r>
  <r>
    <x v="88"/>
    <x v="2"/>
    <x v="3"/>
    <s v="Chennai"/>
    <x v="3"/>
    <x v="0"/>
    <s v="Laptop"/>
    <n v="4"/>
    <n v="22170"/>
    <n v="88680"/>
    <n v="70944"/>
    <n v="17736"/>
    <s v="New"/>
    <x v="0"/>
    <n v="114329.14797259055"/>
    <n v="0.77565521629934897"/>
    <n v="0.94388426128890834"/>
  </r>
  <r>
    <x v="89"/>
    <x v="2"/>
    <x v="1"/>
    <s v="Mumbai"/>
    <x v="4"/>
    <x v="0"/>
    <s v="Mobile"/>
    <n v="12"/>
    <n v="38989"/>
    <n v="467868"/>
    <n v="374294.4"/>
    <n v="93573.599999999977"/>
    <s v="Existing"/>
    <x v="1"/>
    <n v="555309.44007095473"/>
    <n v="0.84253564992559482"/>
    <n v="4.275913396481732"/>
  </r>
  <r>
    <x v="90"/>
    <x v="2"/>
    <x v="2"/>
    <s v="Delhi"/>
    <x v="0"/>
    <x v="1"/>
    <s v="Shirt"/>
    <n v="9"/>
    <n v="23628"/>
    <n v="212652"/>
    <n v="170121.60000000001"/>
    <n v="42530.399999999994"/>
    <s v="New"/>
    <x v="0"/>
    <n v="255791.60501414753"/>
    <n v="0.83134862845963409"/>
    <n v="-0.54548718869424706"/>
  </r>
  <r>
    <x v="91"/>
    <x v="2"/>
    <x v="0"/>
    <s v="Kolkata"/>
    <x v="1"/>
    <x v="2"/>
    <s v="Table"/>
    <n v="2"/>
    <n v="5211"/>
    <n v="10422"/>
    <n v="8337.6"/>
    <n v="2084.3999999999996"/>
    <s v="Existing"/>
    <x v="1"/>
    <n v="13217.164461623883"/>
    <n v="0.78852011187878768"/>
    <n v="-0.95099035043169122"/>
  </r>
  <r>
    <x v="92"/>
    <x v="2"/>
    <x v="3"/>
    <s v="Bangalore"/>
    <x v="2"/>
    <x v="0"/>
    <s v="Tablet"/>
    <n v="11"/>
    <n v="13061"/>
    <n v="143671"/>
    <n v="114936.8"/>
    <n v="28734.199999999997"/>
    <s v="New"/>
    <x v="0"/>
    <n v="154206.51261415696"/>
    <n v="0.93167919800820564"/>
    <n v="12.78535789675686"/>
  </r>
  <r>
    <x v="93"/>
    <x v="3"/>
    <x v="1"/>
    <s v="Chennai"/>
    <x v="3"/>
    <x v="0"/>
    <s v="Laptop"/>
    <n v="1"/>
    <n v="7598"/>
    <n v="7598"/>
    <n v="6078.4000000000005"/>
    <n v="1519.5999999999995"/>
    <s v="Existing"/>
    <x v="1"/>
    <n v="9561.6836143823675"/>
    <n v="0.79462993196839726"/>
    <n v="-0.94711528422576585"/>
  </r>
  <r>
    <x v="94"/>
    <x v="3"/>
    <x v="2"/>
    <s v="Mumbai"/>
    <x v="4"/>
    <x v="0"/>
    <s v="Mobile"/>
    <n v="9"/>
    <n v="39109"/>
    <n v="351981"/>
    <n v="281584.8"/>
    <n v="70396.200000000012"/>
    <s v="New"/>
    <x v="0"/>
    <n v="374672.2349769866"/>
    <n v="0.93943710566548821"/>
    <n v="45.325480389576207"/>
  </r>
  <r>
    <x v="95"/>
    <x v="3"/>
    <x v="0"/>
    <s v="Delhi"/>
    <x v="0"/>
    <x v="1"/>
    <s v="Shirt"/>
    <n v="17"/>
    <n v="26772"/>
    <n v="455124"/>
    <n v="364099.2"/>
    <n v="91024.799999999988"/>
    <s v="Existing"/>
    <x v="1"/>
    <n v="573653.39808597928"/>
    <n v="0.79337802498606647"/>
    <n v="0.29303570363173015"/>
  </r>
  <r>
    <x v="96"/>
    <x v="3"/>
    <x v="3"/>
    <s v="Kolkata"/>
    <x v="1"/>
    <x v="2"/>
    <s v="Table"/>
    <n v="18"/>
    <n v="16486"/>
    <n v="296748"/>
    <n v="237398.40000000002"/>
    <n v="59349.599999999977"/>
    <s v="New"/>
    <x v="0"/>
    <n v="287034.35958546825"/>
    <n v="1.0338413855001891"/>
    <n v="-0.34798428560128669"/>
  </r>
  <r>
    <x v="97"/>
    <x v="3"/>
    <x v="1"/>
    <s v="Bangalore"/>
    <x v="2"/>
    <x v="0"/>
    <s v="Tablet"/>
    <n v="7"/>
    <n v="29309"/>
    <n v="205163"/>
    <n v="164130.40000000002"/>
    <n v="41032.599999999977"/>
    <s v="Existing"/>
    <x v="1"/>
    <n v="211715.10618033243"/>
    <n v="0.96905224998564088"/>
    <n v="-0.30862887028724711"/>
  </r>
  <r>
    <x v="98"/>
    <x v="3"/>
    <x v="2"/>
    <s v="Chennai"/>
    <x v="3"/>
    <x v="0"/>
    <s v="Laptop"/>
    <n v="4"/>
    <n v="39268"/>
    <n v="157072"/>
    <n v="125657.60000000001"/>
    <n v="31414.399999999994"/>
    <s v="New"/>
    <x v="0"/>
    <n v="161481.06068774231"/>
    <n v="0.97269611266507494"/>
    <n v="-0.23440386424452753"/>
  </r>
  <r>
    <x v="99"/>
    <x v="3"/>
    <x v="0"/>
    <s v="Mumbai"/>
    <x v="4"/>
    <x v="0"/>
    <s v="Mobile"/>
    <n v="18"/>
    <n v="37530"/>
    <n v="675540"/>
    <n v="540432"/>
    <n v="135108"/>
    <s v="Existing"/>
    <x v="1"/>
    <n v="832112.67031448591"/>
    <n v="0.8118371755410102"/>
    <n v="3.30083019252317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496977-6B54-413C-ADA5-6591344E0DE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3:E8" firstHeaderRow="1" firstDataRow="1" firstDataCol="1"/>
  <pivotFields count="17">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x="0"/>
        <item x="1"/>
        <item x="2"/>
        <item x="3"/>
        <item t="default"/>
      </items>
    </pivotField>
    <pivotField showAll="0">
      <items count="5">
        <item x="3"/>
        <item x="2"/>
        <item x="0"/>
        <item x="1"/>
        <item t="default"/>
      </items>
    </pivotField>
    <pivotField showAll="0"/>
    <pivotField showAll="0"/>
    <pivotField showAll="0">
      <items count="4">
        <item x="1"/>
        <item x="0"/>
        <item x="2"/>
        <item t="default"/>
      </items>
    </pivotField>
    <pivotField showAll="0"/>
    <pivotField numFmtId="1" showAll="0"/>
    <pivotField numFmtId="1" showAll="0"/>
    <pivotField dataField="1" numFmtId="1" showAll="0"/>
    <pivotField numFmtId="1" showAll="0"/>
    <pivotField numFmtId="1" showAll="0"/>
    <pivotField showAll="0"/>
    <pivotField showAll="0">
      <items count="3">
        <item x="1"/>
        <item x="0"/>
        <item t="default"/>
      </items>
    </pivotField>
    <pivotField numFmtId="1" showAll="0"/>
    <pivotField numFmtId="9" showAll="0"/>
    <pivotField showAll="0"/>
  </pivotFields>
  <rowFields count="1">
    <field x="1"/>
  </rowFields>
  <rowItems count="5">
    <i>
      <x/>
    </i>
    <i>
      <x v="1"/>
    </i>
    <i>
      <x v="2"/>
    </i>
    <i>
      <x v="3"/>
    </i>
    <i t="grand">
      <x/>
    </i>
  </rowItems>
  <colItems count="1">
    <i/>
  </colItems>
  <dataFields count="1">
    <dataField name="Sum of Revenue" fld="9"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1F2735-600C-4889-AFA5-0F608475C40C}"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
  <location ref="A16:B22" firstHeaderRow="1" firstDataRow="1" firstDataCol="1"/>
  <pivotFields count="17">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0"/>
        <item x="1"/>
        <item x="2"/>
        <item x="3"/>
        <item t="default"/>
      </items>
    </pivotField>
    <pivotField showAll="0">
      <items count="5">
        <item x="3"/>
        <item x="2"/>
        <item x="0"/>
        <item x="1"/>
        <item t="default"/>
      </items>
    </pivotField>
    <pivotField showAll="0"/>
    <pivotField axis="axisRow" showAll="0">
      <items count="6">
        <item x="0"/>
        <item x="4"/>
        <item x="2"/>
        <item x="3"/>
        <item x="1"/>
        <item t="default"/>
      </items>
    </pivotField>
    <pivotField showAll="0">
      <items count="4">
        <item x="1"/>
        <item x="0"/>
        <item x="2"/>
        <item t="default"/>
      </items>
    </pivotField>
    <pivotField showAll="0"/>
    <pivotField numFmtId="1" showAll="0"/>
    <pivotField numFmtId="1" showAll="0"/>
    <pivotField dataField="1" numFmtId="1" showAll="0"/>
    <pivotField numFmtId="1" showAll="0"/>
    <pivotField numFmtId="1" showAll="0"/>
    <pivotField showAll="0"/>
    <pivotField showAll="0">
      <items count="3">
        <item x="1"/>
        <item x="0"/>
        <item t="default"/>
      </items>
    </pivotField>
    <pivotField numFmtId="1" showAll="0"/>
    <pivotField numFmtId="9" showAll="0"/>
    <pivotField showAll="0"/>
  </pivotFields>
  <rowFields count="1">
    <field x="4"/>
  </rowFields>
  <rowItems count="6">
    <i>
      <x/>
    </i>
    <i>
      <x v="1"/>
    </i>
    <i>
      <x v="2"/>
    </i>
    <i>
      <x v="3"/>
    </i>
    <i>
      <x v="4"/>
    </i>
    <i t="grand">
      <x/>
    </i>
  </rowItems>
  <colItems count="1">
    <i/>
  </colItems>
  <dataFields count="1">
    <dataField name="Sum of Revenue"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CF9E29-64A3-49E8-9B26-47F8DC97C7A9}"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6">
  <location ref="A10:B14" firstHeaderRow="1" firstDataRow="1" firstDataCol="1"/>
  <pivotFields count="17">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0"/>
        <item x="1"/>
        <item x="2"/>
        <item x="3"/>
        <item t="default"/>
      </items>
    </pivotField>
    <pivotField showAll="0">
      <items count="5">
        <item x="3"/>
        <item x="2"/>
        <item x="0"/>
        <item x="1"/>
        <item t="default"/>
      </items>
    </pivotField>
    <pivotField showAll="0"/>
    <pivotField showAll="0"/>
    <pivotField axis="axisRow" showAll="0">
      <items count="4">
        <item x="1"/>
        <item x="0"/>
        <item x="2"/>
        <item t="default"/>
      </items>
    </pivotField>
    <pivotField showAll="0"/>
    <pivotField numFmtId="1" showAll="0"/>
    <pivotField numFmtId="1" showAll="0"/>
    <pivotField dataField="1" numFmtId="1" showAll="0"/>
    <pivotField numFmtId="1" showAll="0"/>
    <pivotField numFmtId="1" showAll="0"/>
    <pivotField showAll="0"/>
    <pivotField showAll="0">
      <items count="3">
        <item x="1"/>
        <item x="0"/>
        <item t="default"/>
      </items>
    </pivotField>
    <pivotField numFmtId="1" showAll="0"/>
    <pivotField numFmtId="9" showAll="0"/>
    <pivotField showAll="0"/>
  </pivotFields>
  <rowFields count="1">
    <field x="5"/>
  </rowFields>
  <rowItems count="4">
    <i>
      <x/>
    </i>
    <i>
      <x v="1"/>
    </i>
    <i>
      <x v="2"/>
    </i>
    <i t="grand">
      <x/>
    </i>
  </rowItems>
  <colItems count="1">
    <i/>
  </colItems>
  <dataFields count="1">
    <dataField name="Sum of Revenue" fld="9" baseField="0"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92C1E3-E925-4022-8C3C-7ADB71EDA2B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8" firstHeaderRow="1" firstDataRow="1" firstDataCol="1"/>
  <pivotFields count="17">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0"/>
        <item x="1"/>
        <item x="2"/>
        <item x="3"/>
        <item t="default"/>
      </items>
    </pivotField>
    <pivotField axis="axisRow" showAll="0">
      <items count="5">
        <item x="3"/>
        <item x="2"/>
        <item x="0"/>
        <item x="1"/>
        <item t="default"/>
      </items>
    </pivotField>
    <pivotField showAll="0"/>
    <pivotField showAll="0"/>
    <pivotField showAll="0">
      <items count="4">
        <item x="1"/>
        <item x="0"/>
        <item x="2"/>
        <item t="default"/>
      </items>
    </pivotField>
    <pivotField showAll="0"/>
    <pivotField numFmtId="1" showAll="0"/>
    <pivotField numFmtId="1" showAll="0"/>
    <pivotField dataField="1" numFmtId="1" showAll="0"/>
    <pivotField numFmtId="1" showAll="0"/>
    <pivotField numFmtId="1" showAll="0"/>
    <pivotField showAll="0"/>
    <pivotField showAll="0">
      <items count="3">
        <item x="1"/>
        <item x="0"/>
        <item t="default"/>
      </items>
    </pivotField>
    <pivotField numFmtId="1" showAll="0"/>
    <pivotField numFmtId="9" showAll="0"/>
    <pivotField showAll="0"/>
  </pivotFields>
  <rowFields count="1">
    <field x="2"/>
  </rowFields>
  <rowItems count="5">
    <i>
      <x/>
    </i>
    <i>
      <x v="1"/>
    </i>
    <i>
      <x v="2"/>
    </i>
    <i>
      <x v="3"/>
    </i>
    <i t="grand">
      <x/>
    </i>
  </rowItems>
  <colItems count="1">
    <i/>
  </colItems>
  <dataFields count="1">
    <dataField name="Sum of Revenue" fld="9" baseField="0" baseItem="0" numFmtId="1"/>
  </dataFields>
  <chartFormats count="15">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 chart="3" format="9">
      <pivotArea type="data" outline="0" fieldPosition="0">
        <references count="2">
          <reference field="4294967294" count="1" selected="0">
            <x v="0"/>
          </reference>
          <reference field="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2" count="1" selected="0">
            <x v="0"/>
          </reference>
        </references>
      </pivotArea>
    </chartFormat>
    <chartFormat chart="5" format="12">
      <pivotArea type="data" outline="0" fieldPosition="0">
        <references count="2">
          <reference field="4294967294" count="1" selected="0">
            <x v="0"/>
          </reference>
          <reference field="2" count="1" selected="0">
            <x v="1"/>
          </reference>
        </references>
      </pivotArea>
    </chartFormat>
    <chartFormat chart="5" format="13">
      <pivotArea type="data" outline="0" fieldPosition="0">
        <references count="2">
          <reference field="4294967294" count="1" selected="0">
            <x v="0"/>
          </reference>
          <reference field="2" count="1" selected="0">
            <x v="2"/>
          </reference>
        </references>
      </pivotArea>
    </chartFormat>
    <chartFormat chart="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027423-D1D7-408A-9FDC-9FA2A29618DB}"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0:E13" firstHeaderRow="1" firstDataRow="1" firstDataCol="1"/>
  <pivotFields count="17">
    <pivotField numFmtId="1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0"/>
        <item x="1"/>
        <item x="2"/>
        <item x="3"/>
        <item t="default"/>
      </items>
    </pivotField>
    <pivotField showAll="0">
      <items count="5">
        <item x="3"/>
        <item x="2"/>
        <item x="0"/>
        <item x="1"/>
        <item t="default"/>
      </items>
    </pivotField>
    <pivotField showAll="0"/>
    <pivotField showAll="0"/>
    <pivotField showAll="0">
      <items count="4">
        <item x="1"/>
        <item x="0"/>
        <item x="2"/>
        <item t="default"/>
      </items>
    </pivotField>
    <pivotField showAll="0"/>
    <pivotField numFmtId="1" showAll="0"/>
    <pivotField numFmtId="1" showAll="0"/>
    <pivotField dataField="1" numFmtId="1" showAll="0"/>
    <pivotField numFmtId="1" showAll="0"/>
    <pivotField numFmtId="1" showAll="0"/>
    <pivotField showAll="0"/>
    <pivotField axis="axisRow" showAll="0">
      <items count="3">
        <item x="1"/>
        <item x="0"/>
        <item t="default"/>
      </items>
    </pivotField>
    <pivotField numFmtId="1" showAll="0"/>
    <pivotField numFmtId="9" showAll="0"/>
    <pivotField showAll="0"/>
  </pivotFields>
  <rowFields count="1">
    <field x="13"/>
  </rowFields>
  <rowItems count="3">
    <i>
      <x/>
    </i>
    <i>
      <x v="1"/>
    </i>
    <i t="grand">
      <x/>
    </i>
  </rowItems>
  <colItems count="1">
    <i/>
  </colItems>
  <dataFields count="1">
    <dataField name="Sum of Revenue" fld="9" showDataAs="percentOfTotal" baseField="13" baseItem="2" numFmtId="10"/>
  </dataFields>
  <formats count="2">
    <format dxfId="7">
      <pivotArea collapsedLevelsAreSubtotals="1" fieldPosition="0">
        <references count="1">
          <reference field="13" count="0"/>
        </references>
      </pivotArea>
    </format>
    <format dxfId="6">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3" count="1" selected="0">
            <x v="0"/>
          </reference>
        </references>
      </pivotArea>
    </chartFormat>
    <chartFormat chart="6"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AA2F74E-BB90-463A-AA44-8CD49D151DFF}" sourceName="Month">
  <pivotTables>
    <pivotTable tabId="5" name="PivotTable4"/>
    <pivotTable tabId="5" name="PivotTable1"/>
    <pivotTable tabId="5" name="PivotTable2"/>
    <pivotTable tabId="5" name="PivotTable3"/>
    <pivotTable tabId="5" name="PivotTable5"/>
  </pivotTables>
  <data>
    <tabular pivotCacheId="1424603255">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DDCD1D8-C96F-40F1-91B7-079DDEBB7647}" sourceName="Region">
  <pivotTables>
    <pivotTable tabId="5" name="PivotTable4"/>
    <pivotTable tabId="5" name="PivotTable1"/>
    <pivotTable tabId="5" name="PivotTable2"/>
    <pivotTable tabId="5" name="PivotTable3"/>
    <pivotTable tabId="5" name="PivotTable5"/>
  </pivotTables>
  <data>
    <tabular pivotCacheId="1424603255">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8B1E43-07C7-4C5C-8380-226292247519}" sourceName="Category">
  <pivotTables>
    <pivotTable tabId="5" name="PivotTable4"/>
    <pivotTable tabId="5" name="PivotTable1"/>
    <pivotTable tabId="5" name="PivotTable2"/>
    <pivotTable tabId="5" name="PivotTable3"/>
    <pivotTable tabId="5" name="PivotTable5"/>
  </pivotTables>
  <data>
    <tabular pivotCacheId="1424603255">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95BA44F-65A1-42D5-81FC-01C6EAADD965}" sourceName="Channel">
  <pivotTables>
    <pivotTable tabId="5" name="PivotTable5"/>
    <pivotTable tabId="5" name="PivotTable1"/>
    <pivotTable tabId="5" name="PivotTable2"/>
    <pivotTable tabId="5" name="PivotTable3"/>
    <pivotTable tabId="5" name="PivotTable4"/>
  </pivotTables>
  <data>
    <tabular pivotCacheId="142460325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0EBA76BD-1E5E-4439-BA3D-0D330656A306}" cache="Slicer_Month" caption="Month" rowHeight="247650"/>
  <slicer name="Region 1" xr10:uid="{86FB9190-9E57-41FD-8C25-2296500C9A8C}" cache="Slicer_Region" caption="Region" rowHeight="247650"/>
  <slicer name="Category 1" xr10:uid="{CA86E425-BD9E-4E36-A8C5-E31792CE40F1}" cache="Slicer_Category" caption="Category" rowHeight="247650"/>
  <slicer name="Channel" xr10:uid="{C1086240-1BAD-440F-85BA-121DABDBE0C0}" cache="Slicer_Channel" caption="Chann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9E18F2-E673-4237-BAF8-7203C78965F5}" name="Table2" displayName="Table2" ref="A1:Q101" totalsRowShown="0" headerRowDxfId="30">
  <autoFilter ref="A1:Q101" xr:uid="{369E18F2-E673-4237-BAF8-7203C78965F5}"/>
  <tableColumns count="17">
    <tableColumn id="1" xr3:uid="{56C13838-8AA4-48FA-B09B-9A3BE6D436A5}" name="Date" dataDxfId="29"/>
    <tableColumn id="2" xr3:uid="{444DE40B-8A9D-47EA-8905-2517174FD459}" name="Month"/>
    <tableColumn id="3" xr3:uid="{548370EC-A6F8-4C05-87B2-BFA411BFC749}" name="Region"/>
    <tableColumn id="4" xr3:uid="{40936A4D-F874-4EAC-A947-F2F25F9D14D4}" name="City"/>
    <tableColumn id="5" xr3:uid="{A618DD00-9ACC-4A28-B127-3D119896B951}" name="Executive"/>
    <tableColumn id="6" xr3:uid="{C984246A-B65D-41ED-B725-CEFA4D19012A}" name="Category"/>
    <tableColumn id="7" xr3:uid="{5A700BE6-AF48-49D4-8C39-C0900319865B}" name="Product"/>
    <tableColumn id="8" xr3:uid="{A7EC7FA9-8E03-4E7D-8F77-8E9497ED70A9}" name="Units"/>
    <tableColumn id="9" xr3:uid="{7F8F6624-440B-4F6D-AA06-3C6FECFC3811}" name="Price"/>
    <tableColumn id="10" xr3:uid="{12D61C97-3190-47A1-B26B-05D2F6EDEB68}" name="Revenue"/>
    <tableColumn id="11" xr3:uid="{B367C801-C671-4562-8930-77C802227E3A}" name="Cost" dataDxfId="28"/>
    <tableColumn id="12" xr3:uid="{A2B657C0-5A9D-400A-A6DC-A80F37FBE56C}" name="Profit" dataDxfId="27"/>
    <tableColumn id="13" xr3:uid="{847663C8-2A34-4814-8D1A-181D7112C34C}" name="Customer Type"/>
    <tableColumn id="14" xr3:uid="{5A59425D-3A5D-4F34-8A30-B2840C2AFB73}" name="Channel"/>
    <tableColumn id="15" xr3:uid="{9B231879-C7EF-4473-817D-98AC229827F3}" name="Target" dataDxfId="26"/>
    <tableColumn id="16" xr3:uid="{63B616F2-79BA-47E2-AB18-705C38EECBE2}" name="Achievement %" dataDxfId="25"/>
    <tableColumn id="17" xr3:uid="{7C23ECDD-D4D7-47F2-9EA8-7FC602DDF45B}" name="Growth %" dataDxfId="24"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883867-2546-4995-AF10-3779326455C0}" name="Table1" displayName="Table1" ref="A1:Q101" totalsRowShown="0" headerRowDxfId="23">
  <autoFilter ref="A1:Q101" xr:uid="{68883867-2546-4995-AF10-3779326455C0}"/>
  <tableColumns count="17">
    <tableColumn id="1" xr3:uid="{CDBE8104-9924-465E-85AE-961BAB4FD231}" name="Date" dataDxfId="22"/>
    <tableColumn id="2" xr3:uid="{1BD795B0-3207-4CBA-BFB1-9328A2FF5549}" name="Month"/>
    <tableColumn id="3" xr3:uid="{7A2C95CD-F439-4362-86CF-3AC7BFC384BE}" name="Region"/>
    <tableColumn id="4" xr3:uid="{62E381B1-8815-495D-82D5-127771EF344F}" name="City"/>
    <tableColumn id="5" xr3:uid="{CC7BC36B-77FD-4B68-8469-9C6BEEB7E9B1}" name="Executive"/>
    <tableColumn id="6" xr3:uid="{175B7120-AED1-46C6-918A-D4467DF6E123}" name="Category"/>
    <tableColumn id="7" xr3:uid="{7359DC55-448D-4BD7-A38D-470FDEAE0FFE}" name="Product"/>
    <tableColumn id="8" xr3:uid="{3DFC2F85-F739-4710-BBBC-5CD2A87C759F}" name="Units" dataDxfId="21"/>
    <tableColumn id="9" xr3:uid="{D3EC629F-5B14-44F1-9A42-4D3DC9D28B29}" name="Price" dataDxfId="20"/>
    <tableColumn id="10" xr3:uid="{08A1C3E8-AA2A-472C-AEAB-EEC58F9FC926}" name="Revenue" dataDxfId="19"/>
    <tableColumn id="11" xr3:uid="{9676AB50-E708-461F-AFC0-E49592883EF7}" name="Cost" dataDxfId="18"/>
    <tableColumn id="12" xr3:uid="{6D1E211D-01CC-4F07-A27A-FD978BCFD3B7}" name="Profit" dataDxfId="17"/>
    <tableColumn id="13" xr3:uid="{6253C79F-D492-4180-ADB6-3720E13784C9}" name="Customer Type"/>
    <tableColumn id="14" xr3:uid="{6AF2E383-B2F8-4DD1-9F5A-DC936D95663F}" name="Channel"/>
    <tableColumn id="15" xr3:uid="{EABCFF39-F4E4-45B4-9BC0-069EABBAC29E}" name="Target" dataDxfId="16"/>
    <tableColumn id="16" xr3:uid="{822635C2-BD1D-4570-96D2-639851D41B91}" name="Achievement %" dataDxfId="15"/>
    <tableColumn id="17" xr3:uid="{4E262160-F2CD-46B6-A939-E750EAC8F086}" name="Growth %" dataDxfId="14" dataCellStyle="Percent">
      <calculatedColumnFormula>(J2-J1)/J1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DEF66A-48CF-40CF-A13C-5120E39A5369}" name="Table3" displayName="Table3" ref="A1:B9" totalsRowShown="0" headerRowDxfId="13" headerRowBorderDxfId="12" tableBorderDxfId="11" totalsRowBorderDxfId="10">
  <autoFilter ref="A1:B9" xr:uid="{63DEF66A-48CF-40CF-A13C-5120E39A5369}"/>
  <tableColumns count="2">
    <tableColumn id="1" xr3:uid="{BBA3C9AC-3984-40D3-AA23-8F05E12FE39A}" name="KPI" dataDxfId="9"/>
    <tableColumn id="2" xr3:uid="{F41C1088-A982-4281-9968-47131FD91EA2}" name="Valu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DC88911-1E65-4558-865B-AA1F6132CABF}" sourceName="Date">
  <pivotTables>
    <pivotTable tabId="5" name="PivotTable5"/>
    <pivotTable tabId="5" name="PivotTable1"/>
    <pivotTable tabId="5" name="PivotTable2"/>
    <pivotTable tabId="5" name="PivotTable3"/>
    <pivotTable tabId="5" name="PivotTable4"/>
  </pivotTables>
  <state minimalRefreshVersion="6" lastRefreshVersion="6" pivotCacheId="142460325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AC39513A-667C-44B4-8CEB-EA36E66A2F34}" cache="NativeTimeline_Date" caption="Date" level="2" selectionLevel="2" scrollPosition="2025-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A59E9-5F92-4436-B9A8-31CA042AE64B}">
  <dimension ref="A1:Q101"/>
  <sheetViews>
    <sheetView workbookViewId="0">
      <selection activeCell="S13" sqref="S13"/>
    </sheetView>
  </sheetViews>
  <sheetFormatPr defaultRowHeight="14.4" x14ac:dyDescent="0.3"/>
  <cols>
    <col min="1" max="1" width="10.33203125" bestFit="1" customWidth="1"/>
    <col min="6" max="6" width="10.6640625" bestFit="1" customWidth="1"/>
    <col min="16" max="16" width="12.21875" customWidth="1"/>
  </cols>
  <sheetData>
    <row r="1" spans="1:17"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v>45658</v>
      </c>
      <c r="B2" t="s">
        <v>17</v>
      </c>
      <c r="C2" t="s">
        <v>18</v>
      </c>
      <c r="D2" t="s">
        <v>19</v>
      </c>
      <c r="E2" t="str">
        <f>CHOOSE(MOD(ROW(),5)+1,"Ravi","Priya","Aman","Sneha","Rahul")</f>
        <v>Aman</v>
      </c>
      <c r="F2" t="s">
        <v>20</v>
      </c>
      <c r="G2" t="s">
        <v>21</v>
      </c>
      <c r="H2">
        <v>5</v>
      </c>
      <c r="I2">
        <v>50000</v>
      </c>
      <c r="M2" t="s">
        <v>22</v>
      </c>
      <c r="N2" t="s">
        <v>23</v>
      </c>
      <c r="P2" s="3"/>
    </row>
    <row r="3" spans="1:17" x14ac:dyDescent="0.3">
      <c r="A3" s="2">
        <v>45659</v>
      </c>
      <c r="B3" t="s">
        <v>17</v>
      </c>
      <c r="C3" t="s">
        <v>25</v>
      </c>
      <c r="D3" t="s">
        <v>26</v>
      </c>
      <c r="E3" t="str">
        <f t="shared" ref="E3:E4" si="0">CHOOSE(MOD(ROW(),5)+1,"Ravi","Priya","Aman","Sneha","Rahul")</f>
        <v>Sneha</v>
      </c>
      <c r="F3" t="s">
        <v>27</v>
      </c>
      <c r="G3" t="s">
        <v>28</v>
      </c>
      <c r="H3">
        <v>20</v>
      </c>
      <c r="I3">
        <v>1000</v>
      </c>
      <c r="M3" t="s">
        <v>29</v>
      </c>
      <c r="N3" t="s">
        <v>30</v>
      </c>
      <c r="P3" s="3"/>
      <c r="Q3" s="5"/>
    </row>
    <row r="4" spans="1:17" x14ac:dyDescent="0.3">
      <c r="A4" s="2">
        <v>45660</v>
      </c>
      <c r="B4" t="s">
        <v>17</v>
      </c>
      <c r="C4" t="s">
        <v>31</v>
      </c>
      <c r="D4" t="s">
        <v>32</v>
      </c>
      <c r="E4" t="str">
        <f t="shared" si="0"/>
        <v>Rahul</v>
      </c>
      <c r="F4" t="s">
        <v>20</v>
      </c>
      <c r="G4" t="s">
        <v>33</v>
      </c>
      <c r="H4">
        <v>10</v>
      </c>
      <c r="I4">
        <v>20000</v>
      </c>
      <c r="M4" t="s">
        <v>22</v>
      </c>
      <c r="N4" t="s">
        <v>23</v>
      </c>
      <c r="P4" s="3"/>
      <c r="Q4" s="5"/>
    </row>
    <row r="5" spans="1:17" x14ac:dyDescent="0.3">
      <c r="A5" s="2">
        <v>45661</v>
      </c>
      <c r="B5" t="s">
        <v>42</v>
      </c>
      <c r="C5" t="s">
        <v>43</v>
      </c>
      <c r="D5" t="s">
        <v>44</v>
      </c>
      <c r="E5" t="s">
        <v>45</v>
      </c>
      <c r="F5" t="s">
        <v>35</v>
      </c>
      <c r="G5" t="s">
        <v>34</v>
      </c>
      <c r="H5">
        <v>11</v>
      </c>
      <c r="I5">
        <v>25100</v>
      </c>
      <c r="K5" s="4"/>
      <c r="L5" s="4"/>
      <c r="M5" t="s">
        <v>46</v>
      </c>
      <c r="N5" t="s">
        <v>47</v>
      </c>
      <c r="O5" s="4"/>
      <c r="P5" s="3"/>
      <c r="Q5" s="5"/>
    </row>
    <row r="6" spans="1:17" x14ac:dyDescent="0.3">
      <c r="A6" s="2">
        <v>45662</v>
      </c>
      <c r="B6" t="s">
        <v>42</v>
      </c>
      <c r="C6" t="s">
        <v>48</v>
      </c>
      <c r="D6" t="s">
        <v>49</v>
      </c>
      <c r="E6" t="s">
        <v>50</v>
      </c>
      <c r="F6" t="s">
        <v>35</v>
      </c>
      <c r="G6" t="s">
        <v>36</v>
      </c>
      <c r="H6">
        <v>15</v>
      </c>
      <c r="I6">
        <v>15875</v>
      </c>
      <c r="K6" s="4"/>
      <c r="L6" s="4"/>
      <c r="M6" t="s">
        <v>51</v>
      </c>
      <c r="N6" t="s">
        <v>52</v>
      </c>
      <c r="O6" s="4"/>
      <c r="P6" s="3"/>
      <c r="Q6" s="5"/>
    </row>
    <row r="7" spans="1:17" x14ac:dyDescent="0.3">
      <c r="A7" s="2">
        <v>45663</v>
      </c>
      <c r="B7" t="s">
        <v>42</v>
      </c>
      <c r="C7" t="s">
        <v>53</v>
      </c>
      <c r="D7" t="s">
        <v>54</v>
      </c>
      <c r="E7" t="s">
        <v>55</v>
      </c>
      <c r="F7" t="s">
        <v>39</v>
      </c>
      <c r="G7" t="s">
        <v>38</v>
      </c>
      <c r="H7">
        <v>3</v>
      </c>
      <c r="I7">
        <v>46450</v>
      </c>
      <c r="K7" s="4"/>
      <c r="L7" s="4"/>
      <c r="M7" t="s">
        <v>46</v>
      </c>
      <c r="N7" t="s">
        <v>47</v>
      </c>
      <c r="O7" s="4"/>
      <c r="P7" s="3"/>
      <c r="Q7" s="5"/>
    </row>
    <row r="8" spans="1:17" x14ac:dyDescent="0.3">
      <c r="A8" s="2">
        <v>45664</v>
      </c>
      <c r="B8" t="s">
        <v>42</v>
      </c>
      <c r="C8" t="s">
        <v>56</v>
      </c>
      <c r="D8" t="s">
        <v>57</v>
      </c>
      <c r="E8" t="s">
        <v>58</v>
      </c>
      <c r="F8" t="s">
        <v>41</v>
      </c>
      <c r="G8" t="s">
        <v>40</v>
      </c>
      <c r="H8">
        <v>4</v>
      </c>
      <c r="I8">
        <v>11800</v>
      </c>
      <c r="K8" s="4"/>
      <c r="L8" s="4"/>
      <c r="M8" t="s">
        <v>51</v>
      </c>
      <c r="N8" t="s">
        <v>52</v>
      </c>
      <c r="O8" s="4"/>
      <c r="P8" s="3"/>
      <c r="Q8" s="5"/>
    </row>
    <row r="9" spans="1:17" x14ac:dyDescent="0.3">
      <c r="A9" s="2">
        <v>45665</v>
      </c>
      <c r="B9" t="s">
        <v>42</v>
      </c>
      <c r="C9" t="s">
        <v>43</v>
      </c>
      <c r="D9" t="s">
        <v>59</v>
      </c>
      <c r="E9" t="s">
        <v>60</v>
      </c>
      <c r="F9" t="s">
        <v>35</v>
      </c>
      <c r="G9" t="s">
        <v>37</v>
      </c>
      <c r="H9">
        <v>12</v>
      </c>
      <c r="I9">
        <v>40414</v>
      </c>
      <c r="K9" s="4"/>
      <c r="L9" s="4"/>
      <c r="M9" t="s">
        <v>46</v>
      </c>
      <c r="N9" t="s">
        <v>47</v>
      </c>
      <c r="O9" s="4"/>
      <c r="P9" s="3"/>
      <c r="Q9" s="5"/>
    </row>
    <row r="10" spans="1:17" x14ac:dyDescent="0.3">
      <c r="A10" s="2">
        <v>45666</v>
      </c>
      <c r="B10" t="s">
        <v>42</v>
      </c>
      <c r="C10" t="s">
        <v>48</v>
      </c>
      <c r="D10" t="s">
        <v>44</v>
      </c>
      <c r="E10" t="s">
        <v>45</v>
      </c>
      <c r="F10" t="s">
        <v>35</v>
      </c>
      <c r="G10" t="s">
        <v>34</v>
      </c>
      <c r="H10">
        <v>17</v>
      </c>
      <c r="I10">
        <v>21553</v>
      </c>
      <c r="K10" s="4"/>
      <c r="L10" s="4"/>
      <c r="M10" t="s">
        <v>51</v>
      </c>
      <c r="N10" t="s">
        <v>52</v>
      </c>
      <c r="O10" s="4"/>
      <c r="P10" s="3"/>
      <c r="Q10" s="5"/>
    </row>
    <row r="11" spans="1:17" x14ac:dyDescent="0.3">
      <c r="A11" s="2">
        <v>45667</v>
      </c>
      <c r="B11" t="s">
        <v>42</v>
      </c>
      <c r="C11" t="s">
        <v>53</v>
      </c>
      <c r="D11" t="s">
        <v>49</v>
      </c>
      <c r="E11" t="s">
        <v>50</v>
      </c>
      <c r="F11" t="s">
        <v>35</v>
      </c>
      <c r="G11" t="s">
        <v>36</v>
      </c>
      <c r="H11">
        <v>15</v>
      </c>
      <c r="I11">
        <v>30141</v>
      </c>
      <c r="K11" s="4"/>
      <c r="L11" s="4"/>
      <c r="M11" t="s">
        <v>46</v>
      </c>
      <c r="N11" t="s">
        <v>47</v>
      </c>
      <c r="O11" s="4"/>
      <c r="P11" s="3"/>
      <c r="Q11" s="5"/>
    </row>
    <row r="12" spans="1:17" x14ac:dyDescent="0.3">
      <c r="A12" s="2">
        <v>45668</v>
      </c>
      <c r="B12" t="s">
        <v>42</v>
      </c>
      <c r="C12" t="s">
        <v>56</v>
      </c>
      <c r="D12" t="s">
        <v>54</v>
      </c>
      <c r="E12" t="s">
        <v>55</v>
      </c>
      <c r="F12" t="s">
        <v>39</v>
      </c>
      <c r="G12" t="s">
        <v>38</v>
      </c>
      <c r="H12">
        <v>3</v>
      </c>
      <c r="I12">
        <v>16952</v>
      </c>
      <c r="K12" s="4"/>
      <c r="L12" s="4"/>
      <c r="M12" t="s">
        <v>51</v>
      </c>
      <c r="N12" t="s">
        <v>52</v>
      </c>
      <c r="O12" s="4"/>
      <c r="P12" s="3"/>
      <c r="Q12" s="5"/>
    </row>
    <row r="13" spans="1:17" x14ac:dyDescent="0.3">
      <c r="A13" s="2">
        <v>45669</v>
      </c>
      <c r="B13" t="s">
        <v>42</v>
      </c>
      <c r="C13" t="s">
        <v>43</v>
      </c>
      <c r="D13" t="s">
        <v>57</v>
      </c>
      <c r="E13" t="s">
        <v>58</v>
      </c>
      <c r="F13" t="s">
        <v>41</v>
      </c>
      <c r="G13" t="s">
        <v>40</v>
      </c>
      <c r="H13">
        <v>14</v>
      </c>
      <c r="I13">
        <v>22934</v>
      </c>
      <c r="K13" s="4"/>
      <c r="L13" s="4"/>
      <c r="M13" t="s">
        <v>46</v>
      </c>
      <c r="N13" t="s">
        <v>47</v>
      </c>
      <c r="O13" s="4"/>
      <c r="P13" s="3"/>
      <c r="Q13" s="5"/>
    </row>
    <row r="14" spans="1:17" x14ac:dyDescent="0.3">
      <c r="A14" s="2">
        <v>45670</v>
      </c>
      <c r="B14" t="s">
        <v>42</v>
      </c>
      <c r="C14" t="s">
        <v>48</v>
      </c>
      <c r="D14" t="s">
        <v>59</v>
      </c>
      <c r="E14" t="s">
        <v>60</v>
      </c>
      <c r="F14" t="s">
        <v>35</v>
      </c>
      <c r="G14" t="s">
        <v>37</v>
      </c>
      <c r="H14">
        <v>10</v>
      </c>
      <c r="I14">
        <v>1158</v>
      </c>
      <c r="K14" s="4"/>
      <c r="L14" s="4"/>
      <c r="M14" t="s">
        <v>51</v>
      </c>
      <c r="N14" t="s">
        <v>52</v>
      </c>
      <c r="O14" s="4"/>
      <c r="P14" s="3"/>
      <c r="Q14" s="5"/>
    </row>
    <row r="15" spans="1:17" x14ac:dyDescent="0.3">
      <c r="A15" s="2">
        <v>45671</v>
      </c>
      <c r="B15" t="s">
        <v>42</v>
      </c>
      <c r="C15" t="s">
        <v>53</v>
      </c>
      <c r="D15" t="s">
        <v>44</v>
      </c>
      <c r="E15" t="s">
        <v>45</v>
      </c>
      <c r="F15" t="s">
        <v>35</v>
      </c>
      <c r="G15" t="s">
        <v>34</v>
      </c>
      <c r="H15">
        <v>4</v>
      </c>
      <c r="I15">
        <v>19249</v>
      </c>
      <c r="K15" s="4"/>
      <c r="L15" s="4"/>
      <c r="M15" t="s">
        <v>46</v>
      </c>
      <c r="N15" t="s">
        <v>47</v>
      </c>
      <c r="O15" s="4"/>
      <c r="P15" s="3"/>
      <c r="Q15" s="5"/>
    </row>
    <row r="16" spans="1:17" x14ac:dyDescent="0.3">
      <c r="A16" s="2">
        <v>45672</v>
      </c>
      <c r="B16" t="s">
        <v>42</v>
      </c>
      <c r="C16" t="s">
        <v>56</v>
      </c>
      <c r="D16" t="s">
        <v>49</v>
      </c>
      <c r="E16" t="s">
        <v>50</v>
      </c>
      <c r="F16" t="s">
        <v>35</v>
      </c>
      <c r="G16" t="s">
        <v>36</v>
      </c>
      <c r="H16">
        <v>17</v>
      </c>
      <c r="I16">
        <v>28586</v>
      </c>
      <c r="K16" s="4"/>
      <c r="L16" s="4"/>
      <c r="M16" t="s">
        <v>51</v>
      </c>
      <c r="N16" t="s">
        <v>52</v>
      </c>
      <c r="O16" s="4"/>
      <c r="P16" s="3"/>
      <c r="Q16" s="5"/>
    </row>
    <row r="17" spans="1:17" x14ac:dyDescent="0.3">
      <c r="A17" s="2">
        <v>45673</v>
      </c>
      <c r="B17" t="s">
        <v>42</v>
      </c>
      <c r="C17" t="s">
        <v>43</v>
      </c>
      <c r="D17" t="s">
        <v>54</v>
      </c>
      <c r="E17" t="s">
        <v>55</v>
      </c>
      <c r="F17" t="s">
        <v>39</v>
      </c>
      <c r="G17" t="s">
        <v>38</v>
      </c>
      <c r="H17">
        <v>11</v>
      </c>
      <c r="I17">
        <v>28387</v>
      </c>
      <c r="K17" s="4"/>
      <c r="L17" s="4"/>
      <c r="M17" t="s">
        <v>46</v>
      </c>
      <c r="N17" t="s">
        <v>47</v>
      </c>
      <c r="O17" s="4"/>
      <c r="P17" s="3"/>
      <c r="Q17" s="5"/>
    </row>
    <row r="18" spans="1:17" x14ac:dyDescent="0.3">
      <c r="A18" s="2">
        <v>45674</v>
      </c>
      <c r="B18" t="s">
        <v>42</v>
      </c>
      <c r="C18" t="s">
        <v>48</v>
      </c>
      <c r="D18" t="s">
        <v>57</v>
      </c>
      <c r="E18" t="s">
        <v>58</v>
      </c>
      <c r="F18" t="s">
        <v>41</v>
      </c>
      <c r="G18" t="s">
        <v>40</v>
      </c>
      <c r="H18">
        <v>3</v>
      </c>
      <c r="I18">
        <v>21023</v>
      </c>
      <c r="K18" s="4"/>
      <c r="L18" s="4"/>
      <c r="M18" t="s">
        <v>51</v>
      </c>
      <c r="N18" t="s">
        <v>52</v>
      </c>
      <c r="O18" s="4"/>
      <c r="P18" s="3"/>
      <c r="Q18" s="5"/>
    </row>
    <row r="19" spans="1:17" x14ac:dyDescent="0.3">
      <c r="A19" s="2">
        <v>45675</v>
      </c>
      <c r="B19" t="s">
        <v>42</v>
      </c>
      <c r="C19" t="s">
        <v>53</v>
      </c>
      <c r="D19" t="s">
        <v>59</v>
      </c>
      <c r="E19" t="s">
        <v>60</v>
      </c>
      <c r="F19" t="s">
        <v>35</v>
      </c>
      <c r="G19" t="s">
        <v>37</v>
      </c>
      <c r="H19">
        <v>13</v>
      </c>
      <c r="I19">
        <v>6565</v>
      </c>
      <c r="K19" s="4"/>
      <c r="L19" s="4"/>
      <c r="M19" t="s">
        <v>46</v>
      </c>
      <c r="N19" t="s">
        <v>47</v>
      </c>
      <c r="O19" s="4"/>
      <c r="P19" s="3"/>
      <c r="Q19" s="5"/>
    </row>
    <row r="20" spans="1:17" x14ac:dyDescent="0.3">
      <c r="A20" s="2">
        <v>45676</v>
      </c>
      <c r="B20" t="s">
        <v>42</v>
      </c>
      <c r="C20" t="s">
        <v>56</v>
      </c>
      <c r="D20" t="s">
        <v>44</v>
      </c>
      <c r="E20" t="s">
        <v>45</v>
      </c>
      <c r="F20" t="s">
        <v>35</v>
      </c>
      <c r="G20" t="s">
        <v>34</v>
      </c>
      <c r="H20">
        <v>14</v>
      </c>
      <c r="I20">
        <v>19022</v>
      </c>
      <c r="K20" s="4"/>
      <c r="L20" s="4"/>
      <c r="M20" t="s">
        <v>51</v>
      </c>
      <c r="N20" t="s">
        <v>52</v>
      </c>
      <c r="O20" s="4"/>
      <c r="P20" s="3"/>
      <c r="Q20" s="5"/>
    </row>
    <row r="21" spans="1:17" x14ac:dyDescent="0.3">
      <c r="A21" s="2">
        <v>45677</v>
      </c>
      <c r="B21" t="s">
        <v>42</v>
      </c>
      <c r="C21" t="s">
        <v>43</v>
      </c>
      <c r="D21" t="s">
        <v>49</v>
      </c>
      <c r="E21" t="s">
        <v>50</v>
      </c>
      <c r="F21" t="s">
        <v>35</v>
      </c>
      <c r="G21" t="s">
        <v>36</v>
      </c>
      <c r="H21">
        <v>19</v>
      </c>
      <c r="I21">
        <v>4317</v>
      </c>
      <c r="K21" s="4"/>
      <c r="L21" s="4"/>
      <c r="M21" t="s">
        <v>46</v>
      </c>
      <c r="N21" t="s">
        <v>47</v>
      </c>
      <c r="O21" s="4"/>
      <c r="P21" s="3"/>
      <c r="Q21" s="5"/>
    </row>
    <row r="22" spans="1:17" x14ac:dyDescent="0.3">
      <c r="A22" s="2">
        <v>45678</v>
      </c>
      <c r="B22" t="s">
        <v>42</v>
      </c>
      <c r="C22" t="s">
        <v>48</v>
      </c>
      <c r="D22" t="s">
        <v>54</v>
      </c>
      <c r="E22" t="s">
        <v>55</v>
      </c>
      <c r="F22" t="s">
        <v>39</v>
      </c>
      <c r="G22" t="s">
        <v>38</v>
      </c>
      <c r="H22">
        <v>11</v>
      </c>
      <c r="I22">
        <v>33316</v>
      </c>
      <c r="K22" s="4"/>
      <c r="L22" s="4"/>
      <c r="M22" t="s">
        <v>51</v>
      </c>
      <c r="N22" t="s">
        <v>52</v>
      </c>
      <c r="O22" s="4"/>
      <c r="P22" s="3"/>
      <c r="Q22" s="5"/>
    </row>
    <row r="23" spans="1:17" x14ac:dyDescent="0.3">
      <c r="A23" s="2">
        <v>45679</v>
      </c>
      <c r="B23" t="s">
        <v>42</v>
      </c>
      <c r="C23" t="s">
        <v>53</v>
      </c>
      <c r="D23" t="s">
        <v>57</v>
      </c>
      <c r="E23" t="s">
        <v>58</v>
      </c>
      <c r="F23" t="s">
        <v>41</v>
      </c>
      <c r="G23" t="s">
        <v>40</v>
      </c>
      <c r="H23">
        <v>7</v>
      </c>
      <c r="I23">
        <v>48287</v>
      </c>
      <c r="K23" s="4"/>
      <c r="L23" s="4"/>
      <c r="M23" t="s">
        <v>46</v>
      </c>
      <c r="N23" t="s">
        <v>47</v>
      </c>
      <c r="O23" s="4"/>
      <c r="P23" s="3"/>
      <c r="Q23" s="5"/>
    </row>
    <row r="24" spans="1:17" x14ac:dyDescent="0.3">
      <c r="A24" s="2">
        <v>45680</v>
      </c>
      <c r="B24" t="s">
        <v>42</v>
      </c>
      <c r="C24" t="s">
        <v>56</v>
      </c>
      <c r="D24" t="s">
        <v>59</v>
      </c>
      <c r="E24" t="s">
        <v>60</v>
      </c>
      <c r="F24" t="s">
        <v>35</v>
      </c>
      <c r="G24" t="s">
        <v>37</v>
      </c>
      <c r="H24">
        <v>12</v>
      </c>
      <c r="I24">
        <v>28677</v>
      </c>
      <c r="K24" s="4"/>
      <c r="L24" s="4"/>
      <c r="M24" t="s">
        <v>51</v>
      </c>
      <c r="N24" t="s">
        <v>52</v>
      </c>
      <c r="O24" s="4"/>
      <c r="P24" s="3"/>
      <c r="Q24" s="5"/>
    </row>
    <row r="25" spans="1:17" x14ac:dyDescent="0.3">
      <c r="A25" s="2">
        <v>45681</v>
      </c>
      <c r="B25" t="s">
        <v>42</v>
      </c>
      <c r="C25" t="s">
        <v>43</v>
      </c>
      <c r="D25" t="s">
        <v>44</v>
      </c>
      <c r="E25" t="s">
        <v>45</v>
      </c>
      <c r="F25" t="s">
        <v>35</v>
      </c>
      <c r="G25" t="s">
        <v>34</v>
      </c>
      <c r="H25">
        <v>1</v>
      </c>
      <c r="I25">
        <v>30818</v>
      </c>
      <c r="K25" s="4"/>
      <c r="L25" s="4"/>
      <c r="M25" t="s">
        <v>46</v>
      </c>
      <c r="N25" t="s">
        <v>47</v>
      </c>
      <c r="O25" s="4"/>
      <c r="P25" s="3"/>
      <c r="Q25" s="5"/>
    </row>
    <row r="26" spans="1:17" x14ac:dyDescent="0.3">
      <c r="A26" s="2">
        <v>45682</v>
      </c>
      <c r="B26" t="s">
        <v>42</v>
      </c>
      <c r="C26" t="s">
        <v>48</v>
      </c>
      <c r="D26" t="s">
        <v>49</v>
      </c>
      <c r="E26" t="s">
        <v>50</v>
      </c>
      <c r="F26" t="s">
        <v>35</v>
      </c>
      <c r="G26" t="s">
        <v>36</v>
      </c>
      <c r="H26">
        <v>11</v>
      </c>
      <c r="I26">
        <v>25664</v>
      </c>
      <c r="K26" s="4"/>
      <c r="L26" s="4"/>
      <c r="M26" t="s">
        <v>51</v>
      </c>
      <c r="N26" t="s">
        <v>52</v>
      </c>
      <c r="O26" s="4"/>
      <c r="P26" s="3"/>
      <c r="Q26" s="5"/>
    </row>
    <row r="27" spans="1:17" x14ac:dyDescent="0.3">
      <c r="A27" s="2">
        <v>45683</v>
      </c>
      <c r="B27" t="s">
        <v>42</v>
      </c>
      <c r="C27" t="s">
        <v>53</v>
      </c>
      <c r="D27" t="s">
        <v>54</v>
      </c>
      <c r="E27" t="s">
        <v>55</v>
      </c>
      <c r="F27" t="s">
        <v>39</v>
      </c>
      <c r="G27" t="s">
        <v>38</v>
      </c>
      <c r="H27">
        <v>2</v>
      </c>
      <c r="I27">
        <v>36369</v>
      </c>
      <c r="K27" s="4"/>
      <c r="L27" s="4"/>
      <c r="M27" t="s">
        <v>46</v>
      </c>
      <c r="N27" t="s">
        <v>47</v>
      </c>
      <c r="O27" s="4"/>
      <c r="P27" s="3"/>
      <c r="Q27" s="5"/>
    </row>
    <row r="28" spans="1:17" x14ac:dyDescent="0.3">
      <c r="A28" s="2">
        <v>45684</v>
      </c>
      <c r="B28" t="s">
        <v>42</v>
      </c>
      <c r="C28" t="s">
        <v>56</v>
      </c>
      <c r="D28" t="s">
        <v>57</v>
      </c>
      <c r="E28" t="s">
        <v>58</v>
      </c>
      <c r="F28" t="s">
        <v>41</v>
      </c>
      <c r="G28" t="s">
        <v>40</v>
      </c>
      <c r="H28">
        <v>19</v>
      </c>
      <c r="I28">
        <v>14404</v>
      </c>
      <c r="K28" s="4"/>
      <c r="L28" s="4"/>
      <c r="M28" t="s">
        <v>51</v>
      </c>
      <c r="N28" t="s">
        <v>52</v>
      </c>
      <c r="O28" s="4"/>
      <c r="P28" s="3"/>
      <c r="Q28" s="5"/>
    </row>
    <row r="29" spans="1:17" x14ac:dyDescent="0.3">
      <c r="A29" s="2">
        <v>45685</v>
      </c>
      <c r="B29" t="s">
        <v>42</v>
      </c>
      <c r="C29" t="s">
        <v>43</v>
      </c>
      <c r="D29" t="s">
        <v>59</v>
      </c>
      <c r="E29" t="s">
        <v>60</v>
      </c>
      <c r="F29" t="s">
        <v>35</v>
      </c>
      <c r="G29" t="s">
        <v>37</v>
      </c>
      <c r="H29">
        <v>12</v>
      </c>
      <c r="I29">
        <v>11388</v>
      </c>
      <c r="K29" s="4"/>
      <c r="L29" s="4"/>
      <c r="M29" t="s">
        <v>46</v>
      </c>
      <c r="N29" t="s">
        <v>47</v>
      </c>
      <c r="O29" s="4"/>
      <c r="P29" s="3"/>
      <c r="Q29" s="5"/>
    </row>
    <row r="30" spans="1:17" x14ac:dyDescent="0.3">
      <c r="A30" s="2">
        <v>45686</v>
      </c>
      <c r="B30" t="s">
        <v>42</v>
      </c>
      <c r="C30" t="s">
        <v>48</v>
      </c>
      <c r="D30" t="s">
        <v>44</v>
      </c>
      <c r="E30" t="s">
        <v>45</v>
      </c>
      <c r="F30" t="s">
        <v>35</v>
      </c>
      <c r="G30" t="s">
        <v>34</v>
      </c>
      <c r="H30">
        <v>19</v>
      </c>
      <c r="I30">
        <v>9367</v>
      </c>
      <c r="K30" s="4"/>
      <c r="L30" s="4"/>
      <c r="M30" t="s">
        <v>51</v>
      </c>
      <c r="N30" t="s">
        <v>52</v>
      </c>
      <c r="O30" s="4"/>
      <c r="P30" s="3"/>
      <c r="Q30" s="5"/>
    </row>
    <row r="31" spans="1:17" x14ac:dyDescent="0.3">
      <c r="A31" s="2">
        <v>45687</v>
      </c>
      <c r="B31" t="s">
        <v>42</v>
      </c>
      <c r="C31" t="s">
        <v>53</v>
      </c>
      <c r="D31" t="s">
        <v>49</v>
      </c>
      <c r="E31" t="s">
        <v>50</v>
      </c>
      <c r="F31" t="s">
        <v>35</v>
      </c>
      <c r="G31" t="s">
        <v>36</v>
      </c>
      <c r="H31">
        <v>15</v>
      </c>
      <c r="I31">
        <v>19329</v>
      </c>
      <c r="K31" s="4"/>
      <c r="L31" s="4"/>
      <c r="M31" t="s">
        <v>46</v>
      </c>
      <c r="N31" t="s">
        <v>47</v>
      </c>
      <c r="O31" s="4"/>
      <c r="P31" s="3"/>
      <c r="Q31" s="5"/>
    </row>
    <row r="32" spans="1:17" x14ac:dyDescent="0.3">
      <c r="A32" s="2">
        <v>45688</v>
      </c>
      <c r="B32" t="s">
        <v>42</v>
      </c>
      <c r="C32" t="s">
        <v>56</v>
      </c>
      <c r="D32" t="s">
        <v>54</v>
      </c>
      <c r="E32" t="s">
        <v>55</v>
      </c>
      <c r="F32" t="s">
        <v>39</v>
      </c>
      <c r="G32" t="s">
        <v>38</v>
      </c>
      <c r="H32">
        <v>11</v>
      </c>
      <c r="I32">
        <v>2444</v>
      </c>
      <c r="K32" s="4"/>
      <c r="L32" s="4"/>
      <c r="M32" t="s">
        <v>51</v>
      </c>
      <c r="N32" t="s">
        <v>52</v>
      </c>
      <c r="O32" s="4"/>
      <c r="P32" s="3"/>
      <c r="Q32" s="5"/>
    </row>
    <row r="33" spans="1:17" x14ac:dyDescent="0.3">
      <c r="A33" s="2">
        <v>45689</v>
      </c>
      <c r="B33" t="s">
        <v>42</v>
      </c>
      <c r="C33" t="s">
        <v>43</v>
      </c>
      <c r="D33" t="s">
        <v>57</v>
      </c>
      <c r="E33" t="s">
        <v>58</v>
      </c>
      <c r="F33" t="s">
        <v>41</v>
      </c>
      <c r="G33" t="s">
        <v>40</v>
      </c>
      <c r="H33">
        <v>7</v>
      </c>
      <c r="I33">
        <v>26445</v>
      </c>
      <c r="K33" s="4"/>
      <c r="L33" s="4"/>
      <c r="M33" t="s">
        <v>46</v>
      </c>
      <c r="N33" t="s">
        <v>47</v>
      </c>
      <c r="O33" s="4"/>
      <c r="P33" s="3"/>
      <c r="Q33" s="5"/>
    </row>
    <row r="34" spans="1:17" x14ac:dyDescent="0.3">
      <c r="A34" s="2">
        <v>45690</v>
      </c>
      <c r="B34" t="s">
        <v>42</v>
      </c>
      <c r="C34" t="s">
        <v>48</v>
      </c>
      <c r="D34" t="s">
        <v>59</v>
      </c>
      <c r="E34" t="s">
        <v>60</v>
      </c>
      <c r="F34" t="s">
        <v>35</v>
      </c>
      <c r="G34" t="s">
        <v>37</v>
      </c>
      <c r="H34">
        <v>11</v>
      </c>
      <c r="I34">
        <v>13750</v>
      </c>
      <c r="K34" s="4"/>
      <c r="L34" s="4"/>
      <c r="M34" t="s">
        <v>51</v>
      </c>
      <c r="N34" t="s">
        <v>52</v>
      </c>
      <c r="O34" s="4"/>
      <c r="P34" s="3"/>
      <c r="Q34" s="5"/>
    </row>
    <row r="35" spans="1:17" x14ac:dyDescent="0.3">
      <c r="A35" s="2">
        <v>45691</v>
      </c>
      <c r="B35" t="s">
        <v>42</v>
      </c>
      <c r="C35" t="s">
        <v>53</v>
      </c>
      <c r="D35" t="s">
        <v>44</v>
      </c>
      <c r="E35" t="s">
        <v>45</v>
      </c>
      <c r="F35" t="s">
        <v>35</v>
      </c>
      <c r="G35" t="s">
        <v>34</v>
      </c>
      <c r="H35">
        <v>6</v>
      </c>
      <c r="I35">
        <v>13980</v>
      </c>
      <c r="K35" s="4"/>
      <c r="L35" s="4"/>
      <c r="M35" t="s">
        <v>46</v>
      </c>
      <c r="N35" t="s">
        <v>47</v>
      </c>
      <c r="O35" s="4"/>
      <c r="P35" s="3"/>
      <c r="Q35" s="5"/>
    </row>
    <row r="36" spans="1:17" x14ac:dyDescent="0.3">
      <c r="A36" s="2">
        <v>45692</v>
      </c>
      <c r="B36" t="s">
        <v>61</v>
      </c>
      <c r="C36" t="s">
        <v>56</v>
      </c>
      <c r="D36" t="s">
        <v>49</v>
      </c>
      <c r="E36" t="s">
        <v>50</v>
      </c>
      <c r="F36" t="s">
        <v>35</v>
      </c>
      <c r="G36" t="s">
        <v>36</v>
      </c>
      <c r="H36">
        <v>8</v>
      </c>
      <c r="I36">
        <v>46175</v>
      </c>
      <c r="K36" s="4"/>
      <c r="L36" s="4"/>
      <c r="M36" t="s">
        <v>51</v>
      </c>
      <c r="N36" t="s">
        <v>52</v>
      </c>
      <c r="O36" s="4"/>
      <c r="P36" s="3"/>
      <c r="Q36" s="5"/>
    </row>
    <row r="37" spans="1:17" x14ac:dyDescent="0.3">
      <c r="A37" s="2">
        <v>45693</v>
      </c>
      <c r="B37" t="s">
        <v>61</v>
      </c>
      <c r="C37" t="s">
        <v>43</v>
      </c>
      <c r="D37" t="s">
        <v>54</v>
      </c>
      <c r="E37" t="s">
        <v>55</v>
      </c>
      <c r="F37" t="s">
        <v>39</v>
      </c>
      <c r="G37" t="s">
        <v>38</v>
      </c>
      <c r="H37">
        <v>5</v>
      </c>
      <c r="I37">
        <v>30283</v>
      </c>
      <c r="K37" s="4"/>
      <c r="L37" s="4"/>
      <c r="M37" t="s">
        <v>46</v>
      </c>
      <c r="N37" t="s">
        <v>47</v>
      </c>
      <c r="O37" s="4"/>
      <c r="P37" s="3"/>
      <c r="Q37" s="5"/>
    </row>
    <row r="38" spans="1:17" x14ac:dyDescent="0.3">
      <c r="A38" s="2">
        <v>45694</v>
      </c>
      <c r="B38" t="s">
        <v>61</v>
      </c>
      <c r="C38" t="s">
        <v>48</v>
      </c>
      <c r="D38" t="s">
        <v>57</v>
      </c>
      <c r="E38" t="s">
        <v>58</v>
      </c>
      <c r="F38" t="s">
        <v>41</v>
      </c>
      <c r="G38" t="s">
        <v>40</v>
      </c>
      <c r="H38">
        <v>5</v>
      </c>
      <c r="I38">
        <v>26711</v>
      </c>
      <c r="K38" s="4"/>
      <c r="L38" s="4"/>
      <c r="M38" t="s">
        <v>51</v>
      </c>
      <c r="N38" t="s">
        <v>52</v>
      </c>
      <c r="O38" s="4"/>
      <c r="P38" s="3"/>
      <c r="Q38" s="5"/>
    </row>
    <row r="39" spans="1:17" x14ac:dyDescent="0.3">
      <c r="A39" s="2">
        <v>45695</v>
      </c>
      <c r="B39" t="s">
        <v>61</v>
      </c>
      <c r="C39" t="s">
        <v>53</v>
      </c>
      <c r="D39" t="s">
        <v>59</v>
      </c>
      <c r="E39" t="s">
        <v>60</v>
      </c>
      <c r="F39" t="s">
        <v>35</v>
      </c>
      <c r="G39" t="s">
        <v>37</v>
      </c>
      <c r="H39">
        <v>17</v>
      </c>
      <c r="I39">
        <v>31867</v>
      </c>
      <c r="K39" s="4"/>
      <c r="L39" s="4"/>
      <c r="M39" t="s">
        <v>46</v>
      </c>
      <c r="N39" t="s">
        <v>47</v>
      </c>
      <c r="O39" s="4"/>
      <c r="P39" s="3"/>
      <c r="Q39" s="5"/>
    </row>
    <row r="40" spans="1:17" x14ac:dyDescent="0.3">
      <c r="A40" s="2">
        <v>45696</v>
      </c>
      <c r="B40" t="s">
        <v>61</v>
      </c>
      <c r="C40" t="s">
        <v>56</v>
      </c>
      <c r="D40" t="s">
        <v>44</v>
      </c>
      <c r="E40" t="s">
        <v>45</v>
      </c>
      <c r="F40" t="s">
        <v>35</v>
      </c>
      <c r="G40" t="s">
        <v>34</v>
      </c>
      <c r="H40">
        <v>18</v>
      </c>
      <c r="I40">
        <v>43337</v>
      </c>
      <c r="K40" s="4"/>
      <c r="L40" s="4"/>
      <c r="M40" t="s">
        <v>51</v>
      </c>
      <c r="N40" t="s">
        <v>52</v>
      </c>
      <c r="O40" s="4"/>
      <c r="P40" s="3"/>
      <c r="Q40" s="5"/>
    </row>
    <row r="41" spans="1:17" x14ac:dyDescent="0.3">
      <c r="A41" s="2">
        <v>45697</v>
      </c>
      <c r="B41" t="s">
        <v>61</v>
      </c>
      <c r="C41" t="s">
        <v>43</v>
      </c>
      <c r="D41" t="s">
        <v>49</v>
      </c>
      <c r="E41" t="s">
        <v>50</v>
      </c>
      <c r="F41" t="s">
        <v>35</v>
      </c>
      <c r="G41" t="s">
        <v>36</v>
      </c>
      <c r="H41">
        <v>15</v>
      </c>
      <c r="I41">
        <v>8094</v>
      </c>
      <c r="K41" s="4"/>
      <c r="L41" s="4"/>
      <c r="M41" t="s">
        <v>46</v>
      </c>
      <c r="N41" t="s">
        <v>47</v>
      </c>
      <c r="O41" s="4"/>
      <c r="P41" s="3"/>
      <c r="Q41" s="5"/>
    </row>
    <row r="42" spans="1:17" x14ac:dyDescent="0.3">
      <c r="A42" s="2">
        <v>45698</v>
      </c>
      <c r="B42" t="s">
        <v>61</v>
      </c>
      <c r="C42" t="s">
        <v>48</v>
      </c>
      <c r="D42" t="s">
        <v>54</v>
      </c>
      <c r="E42" t="s">
        <v>55</v>
      </c>
      <c r="F42" t="s">
        <v>39</v>
      </c>
      <c r="G42" t="s">
        <v>38</v>
      </c>
      <c r="H42">
        <v>8</v>
      </c>
      <c r="I42">
        <v>34763</v>
      </c>
      <c r="K42" s="4"/>
      <c r="L42" s="4"/>
      <c r="M42" t="s">
        <v>51</v>
      </c>
      <c r="N42" t="s">
        <v>52</v>
      </c>
      <c r="O42" s="4"/>
      <c r="P42" s="3"/>
      <c r="Q42" s="5"/>
    </row>
    <row r="43" spans="1:17" x14ac:dyDescent="0.3">
      <c r="A43" s="2">
        <v>45699</v>
      </c>
      <c r="B43" t="s">
        <v>61</v>
      </c>
      <c r="C43" t="s">
        <v>53</v>
      </c>
      <c r="D43" t="s">
        <v>57</v>
      </c>
      <c r="E43" t="s">
        <v>58</v>
      </c>
      <c r="F43" t="s">
        <v>41</v>
      </c>
      <c r="G43" t="s">
        <v>40</v>
      </c>
      <c r="H43">
        <v>14</v>
      </c>
      <c r="I43">
        <v>8150</v>
      </c>
      <c r="K43" s="4"/>
      <c r="L43" s="4"/>
      <c r="M43" t="s">
        <v>46</v>
      </c>
      <c r="N43" t="s">
        <v>47</v>
      </c>
      <c r="O43" s="4"/>
      <c r="P43" s="3"/>
      <c r="Q43" s="5"/>
    </row>
    <row r="44" spans="1:17" x14ac:dyDescent="0.3">
      <c r="A44" s="2">
        <v>45700</v>
      </c>
      <c r="B44" t="s">
        <v>61</v>
      </c>
      <c r="C44" t="s">
        <v>56</v>
      </c>
      <c r="D44" t="s">
        <v>59</v>
      </c>
      <c r="E44" t="s">
        <v>60</v>
      </c>
      <c r="F44" t="s">
        <v>35</v>
      </c>
      <c r="G44" t="s">
        <v>37</v>
      </c>
      <c r="H44">
        <v>20</v>
      </c>
      <c r="I44">
        <v>23494</v>
      </c>
      <c r="K44" s="4"/>
      <c r="L44" s="4"/>
      <c r="M44" t="s">
        <v>51</v>
      </c>
      <c r="N44" t="s">
        <v>52</v>
      </c>
      <c r="O44" s="4"/>
      <c r="P44" s="3"/>
      <c r="Q44" s="5"/>
    </row>
    <row r="45" spans="1:17" x14ac:dyDescent="0.3">
      <c r="A45" s="2">
        <v>45701</v>
      </c>
      <c r="B45" t="s">
        <v>61</v>
      </c>
      <c r="C45" t="s">
        <v>43</v>
      </c>
      <c r="D45" t="s">
        <v>44</v>
      </c>
      <c r="E45" t="s">
        <v>45</v>
      </c>
      <c r="F45" t="s">
        <v>35</v>
      </c>
      <c r="G45" t="s">
        <v>34</v>
      </c>
      <c r="H45">
        <v>20</v>
      </c>
      <c r="I45">
        <v>16396</v>
      </c>
      <c r="K45" s="4"/>
      <c r="L45" s="4"/>
      <c r="M45" t="s">
        <v>46</v>
      </c>
      <c r="N45" t="s">
        <v>47</v>
      </c>
      <c r="O45" s="4"/>
      <c r="P45" s="3"/>
      <c r="Q45" s="5"/>
    </row>
    <row r="46" spans="1:17" x14ac:dyDescent="0.3">
      <c r="A46" s="2">
        <v>45702</v>
      </c>
      <c r="B46" t="s">
        <v>61</v>
      </c>
      <c r="C46" t="s">
        <v>48</v>
      </c>
      <c r="D46" t="s">
        <v>49</v>
      </c>
      <c r="E46" t="s">
        <v>50</v>
      </c>
      <c r="F46" t="s">
        <v>35</v>
      </c>
      <c r="G46" t="s">
        <v>36</v>
      </c>
      <c r="H46">
        <v>3</v>
      </c>
      <c r="I46">
        <v>5710</v>
      </c>
      <c r="K46" s="4"/>
      <c r="L46" s="4"/>
      <c r="M46" t="s">
        <v>51</v>
      </c>
      <c r="N46" t="s">
        <v>52</v>
      </c>
      <c r="O46" s="4"/>
      <c r="P46" s="3"/>
      <c r="Q46" s="5"/>
    </row>
    <row r="47" spans="1:17" x14ac:dyDescent="0.3">
      <c r="A47" s="2">
        <v>45703</v>
      </c>
      <c r="B47" t="s">
        <v>61</v>
      </c>
      <c r="C47" t="s">
        <v>53</v>
      </c>
      <c r="D47" t="s">
        <v>54</v>
      </c>
      <c r="E47" t="s">
        <v>55</v>
      </c>
      <c r="F47" t="s">
        <v>39</v>
      </c>
      <c r="G47" t="s">
        <v>38</v>
      </c>
      <c r="H47">
        <v>6</v>
      </c>
      <c r="I47">
        <v>25942</v>
      </c>
      <c r="K47" s="4"/>
      <c r="L47" s="4"/>
      <c r="M47" t="s">
        <v>46</v>
      </c>
      <c r="N47" t="s">
        <v>47</v>
      </c>
      <c r="O47" s="4"/>
      <c r="P47" s="3"/>
      <c r="Q47" s="5"/>
    </row>
    <row r="48" spans="1:17" x14ac:dyDescent="0.3">
      <c r="A48" s="2">
        <v>45704</v>
      </c>
      <c r="B48" t="s">
        <v>61</v>
      </c>
      <c r="C48" t="s">
        <v>56</v>
      </c>
      <c r="D48" t="s">
        <v>57</v>
      </c>
      <c r="E48" t="s">
        <v>58</v>
      </c>
      <c r="F48" t="s">
        <v>41</v>
      </c>
      <c r="G48" t="s">
        <v>40</v>
      </c>
      <c r="H48">
        <v>12</v>
      </c>
      <c r="I48">
        <v>25808</v>
      </c>
      <c r="K48" s="4"/>
      <c r="L48" s="4"/>
      <c r="M48" t="s">
        <v>51</v>
      </c>
      <c r="N48" t="s">
        <v>52</v>
      </c>
      <c r="O48" s="4"/>
      <c r="P48" s="3"/>
      <c r="Q48" s="5"/>
    </row>
    <row r="49" spans="1:17" x14ac:dyDescent="0.3">
      <c r="A49" s="2">
        <v>45705</v>
      </c>
      <c r="B49" t="s">
        <v>61</v>
      </c>
      <c r="C49" t="s">
        <v>43</v>
      </c>
      <c r="D49" t="s">
        <v>59</v>
      </c>
      <c r="E49" t="s">
        <v>60</v>
      </c>
      <c r="F49" t="s">
        <v>35</v>
      </c>
      <c r="G49" t="s">
        <v>37</v>
      </c>
      <c r="H49">
        <v>12</v>
      </c>
      <c r="I49">
        <v>41190</v>
      </c>
      <c r="K49" s="4"/>
      <c r="L49" s="4"/>
      <c r="M49" t="s">
        <v>46</v>
      </c>
      <c r="N49" t="s">
        <v>47</v>
      </c>
      <c r="O49" s="4"/>
      <c r="P49" s="3"/>
      <c r="Q49" s="5"/>
    </row>
    <row r="50" spans="1:17" x14ac:dyDescent="0.3">
      <c r="A50" s="2">
        <v>45706</v>
      </c>
      <c r="B50" t="s">
        <v>61</v>
      </c>
      <c r="C50" t="s">
        <v>48</v>
      </c>
      <c r="D50" t="s">
        <v>44</v>
      </c>
      <c r="E50" t="s">
        <v>45</v>
      </c>
      <c r="F50" t="s">
        <v>35</v>
      </c>
      <c r="G50" t="s">
        <v>34</v>
      </c>
      <c r="H50">
        <v>15</v>
      </c>
      <c r="I50">
        <v>5123</v>
      </c>
      <c r="K50" s="4"/>
      <c r="L50" s="4"/>
      <c r="M50" t="s">
        <v>51</v>
      </c>
      <c r="N50" t="s">
        <v>52</v>
      </c>
      <c r="O50" s="4"/>
      <c r="P50" s="3"/>
      <c r="Q50" s="5"/>
    </row>
    <row r="51" spans="1:17" x14ac:dyDescent="0.3">
      <c r="A51" s="2">
        <v>45707</v>
      </c>
      <c r="B51" t="s">
        <v>61</v>
      </c>
      <c r="C51" t="s">
        <v>53</v>
      </c>
      <c r="D51" t="s">
        <v>49</v>
      </c>
      <c r="E51" t="s">
        <v>50</v>
      </c>
      <c r="F51" t="s">
        <v>35</v>
      </c>
      <c r="G51" t="s">
        <v>36</v>
      </c>
      <c r="H51">
        <v>9</v>
      </c>
      <c r="I51">
        <v>8958</v>
      </c>
      <c r="K51" s="4"/>
      <c r="L51" s="4"/>
      <c r="M51" t="s">
        <v>46</v>
      </c>
      <c r="N51" t="s">
        <v>47</v>
      </c>
      <c r="O51" s="4"/>
      <c r="P51" s="3"/>
      <c r="Q51" s="5"/>
    </row>
    <row r="52" spans="1:17" x14ac:dyDescent="0.3">
      <c r="A52" s="2">
        <v>45708</v>
      </c>
      <c r="B52" t="s">
        <v>61</v>
      </c>
      <c r="C52" t="s">
        <v>56</v>
      </c>
      <c r="D52" t="s">
        <v>54</v>
      </c>
      <c r="E52" t="s">
        <v>55</v>
      </c>
      <c r="F52" t="s">
        <v>39</v>
      </c>
      <c r="G52" t="s">
        <v>38</v>
      </c>
      <c r="H52">
        <v>1</v>
      </c>
      <c r="I52">
        <v>38522</v>
      </c>
      <c r="K52" s="4"/>
      <c r="L52" s="4"/>
      <c r="M52" t="s">
        <v>51</v>
      </c>
      <c r="N52" t="s">
        <v>52</v>
      </c>
      <c r="O52" s="4"/>
      <c r="P52" s="3"/>
      <c r="Q52" s="5"/>
    </row>
    <row r="53" spans="1:17" x14ac:dyDescent="0.3">
      <c r="A53" s="2">
        <v>45709</v>
      </c>
      <c r="B53" t="s">
        <v>61</v>
      </c>
      <c r="C53" t="s">
        <v>43</v>
      </c>
      <c r="D53" t="s">
        <v>57</v>
      </c>
      <c r="E53" t="s">
        <v>58</v>
      </c>
      <c r="F53" t="s">
        <v>41</v>
      </c>
      <c r="G53" t="s">
        <v>40</v>
      </c>
      <c r="H53">
        <v>4</v>
      </c>
      <c r="I53">
        <v>2445</v>
      </c>
      <c r="K53" s="4"/>
      <c r="L53" s="4"/>
      <c r="M53" t="s">
        <v>46</v>
      </c>
      <c r="N53" t="s">
        <v>47</v>
      </c>
      <c r="O53" s="4"/>
      <c r="P53" s="3"/>
      <c r="Q53" s="5"/>
    </row>
    <row r="54" spans="1:17" x14ac:dyDescent="0.3">
      <c r="A54" s="2">
        <v>45710</v>
      </c>
      <c r="B54" t="s">
        <v>61</v>
      </c>
      <c r="C54" t="s">
        <v>48</v>
      </c>
      <c r="D54" t="s">
        <v>59</v>
      </c>
      <c r="E54" t="s">
        <v>60</v>
      </c>
      <c r="F54" t="s">
        <v>35</v>
      </c>
      <c r="G54" t="s">
        <v>37</v>
      </c>
      <c r="H54">
        <v>13</v>
      </c>
      <c r="I54">
        <v>48362</v>
      </c>
      <c r="K54" s="4"/>
      <c r="L54" s="4"/>
      <c r="M54" t="s">
        <v>51</v>
      </c>
      <c r="N54" t="s">
        <v>52</v>
      </c>
      <c r="O54" s="4"/>
      <c r="P54" s="3"/>
      <c r="Q54" s="5"/>
    </row>
    <row r="55" spans="1:17" x14ac:dyDescent="0.3">
      <c r="A55" s="2">
        <v>45711</v>
      </c>
      <c r="B55" t="s">
        <v>61</v>
      </c>
      <c r="C55" t="s">
        <v>53</v>
      </c>
      <c r="D55" t="s">
        <v>44</v>
      </c>
      <c r="E55" t="s">
        <v>45</v>
      </c>
      <c r="F55" t="s">
        <v>35</v>
      </c>
      <c r="G55" t="s">
        <v>34</v>
      </c>
      <c r="H55">
        <v>8</v>
      </c>
      <c r="I55">
        <v>11746</v>
      </c>
      <c r="K55" s="4"/>
      <c r="L55" s="4"/>
      <c r="M55" t="s">
        <v>46</v>
      </c>
      <c r="N55" t="s">
        <v>47</v>
      </c>
      <c r="O55" s="4"/>
      <c r="P55" s="3"/>
      <c r="Q55" s="5"/>
    </row>
    <row r="56" spans="1:17" x14ac:dyDescent="0.3">
      <c r="A56" s="2">
        <v>45712</v>
      </c>
      <c r="B56" t="s">
        <v>61</v>
      </c>
      <c r="C56" t="s">
        <v>56</v>
      </c>
      <c r="D56" t="s">
        <v>49</v>
      </c>
      <c r="E56" t="s">
        <v>50</v>
      </c>
      <c r="F56" t="s">
        <v>35</v>
      </c>
      <c r="G56" t="s">
        <v>36</v>
      </c>
      <c r="H56">
        <v>11</v>
      </c>
      <c r="I56">
        <v>4761</v>
      </c>
      <c r="K56" s="4"/>
      <c r="L56" s="4"/>
      <c r="M56" t="s">
        <v>51</v>
      </c>
      <c r="N56" t="s">
        <v>52</v>
      </c>
      <c r="O56" s="4"/>
      <c r="P56" s="3"/>
      <c r="Q56" s="5"/>
    </row>
    <row r="57" spans="1:17" x14ac:dyDescent="0.3">
      <c r="A57" s="2">
        <v>45713</v>
      </c>
      <c r="B57" t="s">
        <v>61</v>
      </c>
      <c r="C57" t="s">
        <v>43</v>
      </c>
      <c r="D57" t="s">
        <v>54</v>
      </c>
      <c r="E57" t="s">
        <v>55</v>
      </c>
      <c r="F57" t="s">
        <v>39</v>
      </c>
      <c r="G57" t="s">
        <v>38</v>
      </c>
      <c r="H57">
        <v>9</v>
      </c>
      <c r="I57">
        <v>26664</v>
      </c>
      <c r="K57" s="4"/>
      <c r="L57" s="4"/>
      <c r="M57" t="s">
        <v>46</v>
      </c>
      <c r="N57" t="s">
        <v>47</v>
      </c>
      <c r="O57" s="4"/>
      <c r="P57" s="3"/>
      <c r="Q57" s="5"/>
    </row>
    <row r="58" spans="1:17" x14ac:dyDescent="0.3">
      <c r="A58" s="2">
        <v>45714</v>
      </c>
      <c r="B58" t="s">
        <v>61</v>
      </c>
      <c r="C58" t="s">
        <v>48</v>
      </c>
      <c r="D58" t="s">
        <v>57</v>
      </c>
      <c r="E58" t="s">
        <v>58</v>
      </c>
      <c r="F58" t="s">
        <v>41</v>
      </c>
      <c r="G58" t="s">
        <v>40</v>
      </c>
      <c r="H58">
        <v>4</v>
      </c>
      <c r="I58">
        <v>20634</v>
      </c>
      <c r="K58" s="4"/>
      <c r="L58" s="4"/>
      <c r="M58" t="s">
        <v>51</v>
      </c>
      <c r="N58" t="s">
        <v>52</v>
      </c>
      <c r="O58" s="4"/>
      <c r="P58" s="3"/>
      <c r="Q58" s="5"/>
    </row>
    <row r="59" spans="1:17" x14ac:dyDescent="0.3">
      <c r="A59" s="2">
        <v>45715</v>
      </c>
      <c r="B59" t="s">
        <v>61</v>
      </c>
      <c r="C59" t="s">
        <v>53</v>
      </c>
      <c r="D59" t="s">
        <v>59</v>
      </c>
      <c r="E59" t="s">
        <v>60</v>
      </c>
      <c r="F59" t="s">
        <v>35</v>
      </c>
      <c r="G59" t="s">
        <v>37</v>
      </c>
      <c r="H59">
        <v>20</v>
      </c>
      <c r="I59">
        <v>4653</v>
      </c>
      <c r="K59" s="4"/>
      <c r="L59" s="4"/>
      <c r="M59" t="s">
        <v>46</v>
      </c>
      <c r="N59" t="s">
        <v>47</v>
      </c>
      <c r="O59" s="4"/>
      <c r="P59" s="3"/>
      <c r="Q59" s="5"/>
    </row>
    <row r="60" spans="1:17" x14ac:dyDescent="0.3">
      <c r="A60" s="2">
        <v>45716</v>
      </c>
      <c r="B60" t="s">
        <v>61</v>
      </c>
      <c r="C60" t="s">
        <v>56</v>
      </c>
      <c r="D60" t="s">
        <v>44</v>
      </c>
      <c r="E60" t="s">
        <v>45</v>
      </c>
      <c r="F60" t="s">
        <v>35</v>
      </c>
      <c r="G60" t="s">
        <v>34</v>
      </c>
      <c r="H60">
        <v>14</v>
      </c>
      <c r="I60">
        <v>5606</v>
      </c>
      <c r="K60" s="4"/>
      <c r="L60" s="4"/>
      <c r="M60" t="s">
        <v>51</v>
      </c>
      <c r="N60" t="s">
        <v>52</v>
      </c>
      <c r="O60" s="4"/>
      <c r="P60" s="3"/>
      <c r="Q60" s="5"/>
    </row>
    <row r="61" spans="1:17" x14ac:dyDescent="0.3">
      <c r="A61" s="2">
        <v>45717</v>
      </c>
      <c r="B61" t="s">
        <v>61</v>
      </c>
      <c r="C61" t="s">
        <v>43</v>
      </c>
      <c r="D61" t="s">
        <v>49</v>
      </c>
      <c r="E61" t="s">
        <v>50</v>
      </c>
      <c r="F61" t="s">
        <v>35</v>
      </c>
      <c r="G61" t="s">
        <v>36</v>
      </c>
      <c r="H61">
        <v>19</v>
      </c>
      <c r="I61">
        <v>1334</v>
      </c>
      <c r="K61" s="4"/>
      <c r="L61" s="4"/>
      <c r="M61" t="s">
        <v>46</v>
      </c>
      <c r="N61" t="s">
        <v>47</v>
      </c>
      <c r="O61" s="4"/>
      <c r="P61" s="3"/>
      <c r="Q61" s="5"/>
    </row>
    <row r="62" spans="1:17" x14ac:dyDescent="0.3">
      <c r="A62" s="2">
        <v>45718</v>
      </c>
      <c r="B62" t="s">
        <v>61</v>
      </c>
      <c r="C62" t="s">
        <v>48</v>
      </c>
      <c r="D62" t="s">
        <v>54</v>
      </c>
      <c r="E62" t="s">
        <v>55</v>
      </c>
      <c r="F62" t="s">
        <v>39</v>
      </c>
      <c r="G62" t="s">
        <v>38</v>
      </c>
      <c r="H62">
        <v>17</v>
      </c>
      <c r="I62">
        <v>16674</v>
      </c>
      <c r="K62" s="4"/>
      <c r="L62" s="4"/>
      <c r="M62" t="s">
        <v>51</v>
      </c>
      <c r="N62" t="s">
        <v>52</v>
      </c>
      <c r="O62" s="4"/>
      <c r="P62" s="3"/>
      <c r="Q62" s="5"/>
    </row>
    <row r="63" spans="1:17" x14ac:dyDescent="0.3">
      <c r="A63" s="2">
        <v>45719</v>
      </c>
      <c r="B63" t="s">
        <v>61</v>
      </c>
      <c r="C63" t="s">
        <v>53</v>
      </c>
      <c r="D63" t="s">
        <v>57</v>
      </c>
      <c r="E63" t="s">
        <v>58</v>
      </c>
      <c r="F63" t="s">
        <v>41</v>
      </c>
      <c r="G63" t="s">
        <v>40</v>
      </c>
      <c r="H63">
        <v>13</v>
      </c>
      <c r="I63">
        <v>37952</v>
      </c>
      <c r="K63" s="4"/>
      <c r="L63" s="4"/>
      <c r="M63" t="s">
        <v>46</v>
      </c>
      <c r="N63" t="s">
        <v>47</v>
      </c>
      <c r="O63" s="4"/>
      <c r="P63" s="3"/>
      <c r="Q63" s="5"/>
    </row>
    <row r="64" spans="1:17" x14ac:dyDescent="0.3">
      <c r="A64" s="2">
        <v>45720</v>
      </c>
      <c r="B64" t="s">
        <v>62</v>
      </c>
      <c r="C64" t="s">
        <v>56</v>
      </c>
      <c r="D64" t="s">
        <v>59</v>
      </c>
      <c r="E64" t="s">
        <v>60</v>
      </c>
      <c r="F64" t="s">
        <v>35</v>
      </c>
      <c r="G64" t="s">
        <v>37</v>
      </c>
      <c r="H64">
        <v>10</v>
      </c>
      <c r="I64">
        <v>26984</v>
      </c>
      <c r="K64" s="4"/>
      <c r="L64" s="4"/>
      <c r="M64" t="s">
        <v>51</v>
      </c>
      <c r="N64" t="s">
        <v>52</v>
      </c>
      <c r="O64" s="4"/>
      <c r="P64" s="3"/>
      <c r="Q64" s="5"/>
    </row>
    <row r="65" spans="1:17" x14ac:dyDescent="0.3">
      <c r="A65" s="2">
        <v>45721</v>
      </c>
      <c r="B65" t="s">
        <v>62</v>
      </c>
      <c r="C65" t="s">
        <v>43</v>
      </c>
      <c r="D65" t="s">
        <v>44</v>
      </c>
      <c r="E65" t="s">
        <v>45</v>
      </c>
      <c r="F65" t="s">
        <v>35</v>
      </c>
      <c r="G65" t="s">
        <v>34</v>
      </c>
      <c r="H65">
        <v>12</v>
      </c>
      <c r="I65">
        <v>21036</v>
      </c>
      <c r="K65" s="4"/>
      <c r="L65" s="4"/>
      <c r="M65" t="s">
        <v>46</v>
      </c>
      <c r="N65" t="s">
        <v>47</v>
      </c>
      <c r="O65" s="4"/>
      <c r="P65" s="3"/>
      <c r="Q65" s="5"/>
    </row>
    <row r="66" spans="1:17" x14ac:dyDescent="0.3">
      <c r="A66" s="2">
        <v>45722</v>
      </c>
      <c r="B66" t="s">
        <v>62</v>
      </c>
      <c r="C66" t="s">
        <v>48</v>
      </c>
      <c r="D66" t="s">
        <v>49</v>
      </c>
      <c r="E66" t="s">
        <v>50</v>
      </c>
      <c r="F66" t="s">
        <v>35</v>
      </c>
      <c r="G66" t="s">
        <v>36</v>
      </c>
      <c r="H66">
        <v>13</v>
      </c>
      <c r="I66">
        <v>8761</v>
      </c>
      <c r="K66" s="4"/>
      <c r="L66" s="4"/>
      <c r="M66" t="s">
        <v>51</v>
      </c>
      <c r="N66" t="s">
        <v>52</v>
      </c>
      <c r="O66" s="4"/>
      <c r="P66" s="3"/>
      <c r="Q66" s="5"/>
    </row>
    <row r="67" spans="1:17" x14ac:dyDescent="0.3">
      <c r="A67" s="2">
        <v>45723</v>
      </c>
      <c r="B67" t="s">
        <v>62</v>
      </c>
      <c r="C67" t="s">
        <v>53</v>
      </c>
      <c r="D67" t="s">
        <v>54</v>
      </c>
      <c r="E67" t="s">
        <v>55</v>
      </c>
      <c r="F67" t="s">
        <v>39</v>
      </c>
      <c r="G67" t="s">
        <v>38</v>
      </c>
      <c r="H67">
        <v>19</v>
      </c>
      <c r="I67">
        <v>44136</v>
      </c>
      <c r="K67" s="4"/>
      <c r="L67" s="4"/>
      <c r="M67" t="s">
        <v>46</v>
      </c>
      <c r="N67" t="s">
        <v>47</v>
      </c>
      <c r="O67" s="4"/>
      <c r="P67" s="3"/>
      <c r="Q67" s="5"/>
    </row>
    <row r="68" spans="1:17" x14ac:dyDescent="0.3">
      <c r="A68" s="2">
        <v>45724</v>
      </c>
      <c r="B68" t="s">
        <v>62</v>
      </c>
      <c r="C68" t="s">
        <v>56</v>
      </c>
      <c r="D68" t="s">
        <v>57</v>
      </c>
      <c r="E68" t="s">
        <v>58</v>
      </c>
      <c r="F68" t="s">
        <v>41</v>
      </c>
      <c r="G68" t="s">
        <v>40</v>
      </c>
      <c r="H68">
        <v>5</v>
      </c>
      <c r="I68">
        <v>22069</v>
      </c>
      <c r="K68" s="4"/>
      <c r="L68" s="4"/>
      <c r="M68" t="s">
        <v>51</v>
      </c>
      <c r="N68" t="s">
        <v>52</v>
      </c>
      <c r="O68" s="4"/>
      <c r="P68" s="3"/>
      <c r="Q68" s="5"/>
    </row>
    <row r="69" spans="1:17" x14ac:dyDescent="0.3">
      <c r="A69" s="2">
        <v>45725</v>
      </c>
      <c r="B69" t="s">
        <v>62</v>
      </c>
      <c r="C69" t="s">
        <v>43</v>
      </c>
      <c r="D69" t="s">
        <v>59</v>
      </c>
      <c r="E69" t="s">
        <v>60</v>
      </c>
      <c r="F69" t="s">
        <v>35</v>
      </c>
      <c r="G69" t="s">
        <v>37</v>
      </c>
      <c r="H69">
        <v>13</v>
      </c>
      <c r="I69">
        <v>4065</v>
      </c>
      <c r="K69" s="4"/>
      <c r="L69" s="4"/>
      <c r="M69" t="s">
        <v>46</v>
      </c>
      <c r="N69" t="s">
        <v>47</v>
      </c>
      <c r="O69" s="4"/>
      <c r="P69" s="3"/>
      <c r="Q69" s="5"/>
    </row>
    <row r="70" spans="1:17" x14ac:dyDescent="0.3">
      <c r="A70" s="2">
        <v>45726</v>
      </c>
      <c r="B70" t="s">
        <v>62</v>
      </c>
      <c r="C70" t="s">
        <v>48</v>
      </c>
      <c r="D70" t="s">
        <v>44</v>
      </c>
      <c r="E70" t="s">
        <v>45</v>
      </c>
      <c r="F70" t="s">
        <v>35</v>
      </c>
      <c r="G70" t="s">
        <v>34</v>
      </c>
      <c r="H70">
        <v>10</v>
      </c>
      <c r="I70">
        <v>19090</v>
      </c>
      <c r="K70" s="4"/>
      <c r="L70" s="4"/>
      <c r="M70" t="s">
        <v>51</v>
      </c>
      <c r="N70" t="s">
        <v>52</v>
      </c>
      <c r="O70" s="4"/>
      <c r="P70" s="3"/>
      <c r="Q70" s="5"/>
    </row>
    <row r="71" spans="1:17" x14ac:dyDescent="0.3">
      <c r="A71" s="2">
        <v>45727</v>
      </c>
      <c r="B71" t="s">
        <v>62</v>
      </c>
      <c r="C71" t="s">
        <v>53</v>
      </c>
      <c r="D71" t="s">
        <v>49</v>
      </c>
      <c r="E71" t="s">
        <v>50</v>
      </c>
      <c r="F71" t="s">
        <v>35</v>
      </c>
      <c r="G71" t="s">
        <v>36</v>
      </c>
      <c r="H71">
        <v>14</v>
      </c>
      <c r="I71">
        <v>10415</v>
      </c>
      <c r="K71" s="4"/>
      <c r="L71" s="4"/>
      <c r="M71" t="s">
        <v>46</v>
      </c>
      <c r="N71" t="s">
        <v>47</v>
      </c>
      <c r="O71" s="4"/>
      <c r="P71" s="3"/>
      <c r="Q71" s="5"/>
    </row>
    <row r="72" spans="1:17" x14ac:dyDescent="0.3">
      <c r="A72" s="2">
        <v>45728</v>
      </c>
      <c r="B72" t="s">
        <v>62</v>
      </c>
      <c r="C72" t="s">
        <v>56</v>
      </c>
      <c r="D72" t="s">
        <v>54</v>
      </c>
      <c r="E72" t="s">
        <v>55</v>
      </c>
      <c r="F72" t="s">
        <v>39</v>
      </c>
      <c r="G72" t="s">
        <v>38</v>
      </c>
      <c r="H72">
        <v>10</v>
      </c>
      <c r="I72">
        <v>45613</v>
      </c>
      <c r="K72" s="4"/>
      <c r="L72" s="4"/>
      <c r="M72" t="s">
        <v>51</v>
      </c>
      <c r="N72" t="s">
        <v>52</v>
      </c>
      <c r="O72" s="4"/>
      <c r="P72" s="3"/>
      <c r="Q72" s="5"/>
    </row>
    <row r="73" spans="1:17" x14ac:dyDescent="0.3">
      <c r="A73" s="2">
        <v>45729</v>
      </c>
      <c r="B73" t="s">
        <v>62</v>
      </c>
      <c r="C73" t="s">
        <v>43</v>
      </c>
      <c r="D73" t="s">
        <v>57</v>
      </c>
      <c r="E73" t="s">
        <v>58</v>
      </c>
      <c r="F73" t="s">
        <v>41</v>
      </c>
      <c r="G73" t="s">
        <v>40</v>
      </c>
      <c r="H73">
        <v>15</v>
      </c>
      <c r="I73">
        <v>2108</v>
      </c>
      <c r="K73" s="4"/>
      <c r="L73" s="4"/>
      <c r="M73" t="s">
        <v>46</v>
      </c>
      <c r="N73" t="s">
        <v>47</v>
      </c>
      <c r="O73" s="4"/>
      <c r="P73" s="3"/>
      <c r="Q73" s="5"/>
    </row>
    <row r="74" spans="1:17" x14ac:dyDescent="0.3">
      <c r="A74" s="2">
        <v>45730</v>
      </c>
      <c r="B74" t="s">
        <v>62</v>
      </c>
      <c r="C74" t="s">
        <v>48</v>
      </c>
      <c r="D74" t="s">
        <v>59</v>
      </c>
      <c r="E74" t="s">
        <v>60</v>
      </c>
      <c r="F74" t="s">
        <v>35</v>
      </c>
      <c r="G74" t="s">
        <v>37</v>
      </c>
      <c r="H74">
        <v>13</v>
      </c>
      <c r="I74">
        <v>4852</v>
      </c>
      <c r="K74" s="4"/>
      <c r="L74" s="4"/>
      <c r="M74" t="s">
        <v>51</v>
      </c>
      <c r="N74" t="s">
        <v>52</v>
      </c>
      <c r="O74" s="4"/>
      <c r="P74" s="3"/>
      <c r="Q74" s="5"/>
    </row>
    <row r="75" spans="1:17" x14ac:dyDescent="0.3">
      <c r="A75" s="2">
        <v>45731</v>
      </c>
      <c r="B75" t="s">
        <v>62</v>
      </c>
      <c r="C75" t="s">
        <v>53</v>
      </c>
      <c r="D75" t="s">
        <v>44</v>
      </c>
      <c r="E75" t="s">
        <v>45</v>
      </c>
      <c r="F75" t="s">
        <v>35</v>
      </c>
      <c r="G75" t="s">
        <v>34</v>
      </c>
      <c r="H75">
        <v>17</v>
      </c>
      <c r="I75">
        <v>1508</v>
      </c>
      <c r="K75" s="4"/>
      <c r="L75" s="4"/>
      <c r="M75" t="s">
        <v>46</v>
      </c>
      <c r="N75" t="s">
        <v>47</v>
      </c>
      <c r="O75" s="4"/>
      <c r="P75" s="3"/>
      <c r="Q75" s="5"/>
    </row>
    <row r="76" spans="1:17" x14ac:dyDescent="0.3">
      <c r="A76" s="2">
        <v>45732</v>
      </c>
      <c r="B76" t="s">
        <v>62</v>
      </c>
      <c r="C76" t="s">
        <v>56</v>
      </c>
      <c r="D76" t="s">
        <v>49</v>
      </c>
      <c r="E76" t="s">
        <v>50</v>
      </c>
      <c r="F76" t="s">
        <v>35</v>
      </c>
      <c r="G76" t="s">
        <v>36</v>
      </c>
      <c r="H76">
        <v>15</v>
      </c>
      <c r="I76">
        <v>5493</v>
      </c>
      <c r="K76" s="4"/>
      <c r="L76" s="4"/>
      <c r="M76" t="s">
        <v>51</v>
      </c>
      <c r="N76" t="s">
        <v>52</v>
      </c>
      <c r="O76" s="4"/>
      <c r="P76" s="3"/>
      <c r="Q76" s="5"/>
    </row>
    <row r="77" spans="1:17" x14ac:dyDescent="0.3">
      <c r="A77" s="2">
        <v>45733</v>
      </c>
      <c r="B77" t="s">
        <v>62</v>
      </c>
      <c r="C77" t="s">
        <v>43</v>
      </c>
      <c r="D77" t="s">
        <v>54</v>
      </c>
      <c r="E77" t="s">
        <v>55</v>
      </c>
      <c r="F77" t="s">
        <v>39</v>
      </c>
      <c r="G77" t="s">
        <v>38</v>
      </c>
      <c r="H77">
        <v>9</v>
      </c>
      <c r="I77">
        <v>21144</v>
      </c>
      <c r="K77" s="4"/>
      <c r="L77" s="4"/>
      <c r="M77" t="s">
        <v>46</v>
      </c>
      <c r="N77" t="s">
        <v>47</v>
      </c>
      <c r="O77" s="4"/>
      <c r="P77" s="3"/>
      <c r="Q77" s="5"/>
    </row>
    <row r="78" spans="1:17" x14ac:dyDescent="0.3">
      <c r="A78" s="2">
        <v>45734</v>
      </c>
      <c r="B78" t="s">
        <v>62</v>
      </c>
      <c r="C78" t="s">
        <v>48</v>
      </c>
      <c r="D78" t="s">
        <v>57</v>
      </c>
      <c r="E78" t="s">
        <v>58</v>
      </c>
      <c r="F78" t="s">
        <v>41</v>
      </c>
      <c r="G78" t="s">
        <v>40</v>
      </c>
      <c r="H78">
        <v>5</v>
      </c>
      <c r="I78">
        <v>19482</v>
      </c>
      <c r="K78" s="4"/>
      <c r="L78" s="4"/>
      <c r="M78" t="s">
        <v>51</v>
      </c>
      <c r="N78" t="s">
        <v>52</v>
      </c>
      <c r="O78" s="4"/>
      <c r="P78" s="3"/>
      <c r="Q78" s="5"/>
    </row>
    <row r="79" spans="1:17" x14ac:dyDescent="0.3">
      <c r="A79" s="2">
        <v>45735</v>
      </c>
      <c r="B79" t="s">
        <v>62</v>
      </c>
      <c r="C79" t="s">
        <v>53</v>
      </c>
      <c r="D79" t="s">
        <v>59</v>
      </c>
      <c r="E79" t="s">
        <v>60</v>
      </c>
      <c r="F79" t="s">
        <v>35</v>
      </c>
      <c r="G79" t="s">
        <v>37</v>
      </c>
      <c r="H79">
        <v>5</v>
      </c>
      <c r="I79">
        <v>12313</v>
      </c>
      <c r="K79" s="4"/>
      <c r="L79" s="4"/>
      <c r="M79" t="s">
        <v>46</v>
      </c>
      <c r="N79" t="s">
        <v>47</v>
      </c>
      <c r="O79" s="4"/>
      <c r="P79" s="3"/>
      <c r="Q79" s="5"/>
    </row>
    <row r="80" spans="1:17" x14ac:dyDescent="0.3">
      <c r="A80" s="2">
        <v>45736</v>
      </c>
      <c r="B80" t="s">
        <v>62</v>
      </c>
      <c r="C80" t="s">
        <v>56</v>
      </c>
      <c r="D80" t="s">
        <v>44</v>
      </c>
      <c r="E80" t="s">
        <v>45</v>
      </c>
      <c r="F80" t="s">
        <v>35</v>
      </c>
      <c r="G80" t="s">
        <v>34</v>
      </c>
      <c r="H80">
        <v>12</v>
      </c>
      <c r="I80">
        <v>39334</v>
      </c>
      <c r="K80" s="4"/>
      <c r="L80" s="4"/>
      <c r="M80" t="s">
        <v>51</v>
      </c>
      <c r="N80" t="s">
        <v>52</v>
      </c>
      <c r="O80" s="4"/>
      <c r="P80" s="3"/>
      <c r="Q80" s="5"/>
    </row>
    <row r="81" spans="1:17" x14ac:dyDescent="0.3">
      <c r="A81" s="2">
        <v>45737</v>
      </c>
      <c r="B81" t="s">
        <v>62</v>
      </c>
      <c r="C81" t="s">
        <v>43</v>
      </c>
      <c r="D81" t="s">
        <v>49</v>
      </c>
      <c r="E81" t="s">
        <v>50</v>
      </c>
      <c r="F81" t="s">
        <v>35</v>
      </c>
      <c r="G81" t="s">
        <v>36</v>
      </c>
      <c r="H81">
        <v>17</v>
      </c>
      <c r="I81">
        <v>31496</v>
      </c>
      <c r="K81" s="4"/>
      <c r="L81" s="4"/>
      <c r="M81" t="s">
        <v>46</v>
      </c>
      <c r="N81" t="s">
        <v>47</v>
      </c>
      <c r="O81" s="4"/>
      <c r="P81" s="3"/>
      <c r="Q81" s="5"/>
    </row>
    <row r="82" spans="1:17" x14ac:dyDescent="0.3">
      <c r="A82" s="2">
        <v>45738</v>
      </c>
      <c r="B82" t="s">
        <v>62</v>
      </c>
      <c r="C82" t="s">
        <v>48</v>
      </c>
      <c r="D82" t="s">
        <v>54</v>
      </c>
      <c r="E82" t="s">
        <v>55</v>
      </c>
      <c r="F82" t="s">
        <v>39</v>
      </c>
      <c r="G82" t="s">
        <v>38</v>
      </c>
      <c r="H82">
        <v>20</v>
      </c>
      <c r="I82">
        <v>27828</v>
      </c>
      <c r="K82" s="4"/>
      <c r="L82" s="4"/>
      <c r="M82" t="s">
        <v>51</v>
      </c>
      <c r="N82" t="s">
        <v>52</v>
      </c>
      <c r="O82" s="4"/>
      <c r="P82" s="3"/>
      <c r="Q82" s="5"/>
    </row>
    <row r="83" spans="1:17" x14ac:dyDescent="0.3">
      <c r="A83" s="2">
        <v>45739</v>
      </c>
      <c r="B83" t="s">
        <v>62</v>
      </c>
      <c r="C83" t="s">
        <v>53</v>
      </c>
      <c r="D83" t="s">
        <v>57</v>
      </c>
      <c r="E83" t="s">
        <v>58</v>
      </c>
      <c r="F83" t="s">
        <v>41</v>
      </c>
      <c r="G83" t="s">
        <v>40</v>
      </c>
      <c r="H83">
        <v>16</v>
      </c>
      <c r="I83">
        <v>25841</v>
      </c>
      <c r="K83" s="4"/>
      <c r="L83" s="4"/>
      <c r="M83" t="s">
        <v>46</v>
      </c>
      <c r="N83" t="s">
        <v>47</v>
      </c>
      <c r="O83" s="4"/>
      <c r="P83" s="3"/>
      <c r="Q83" s="5"/>
    </row>
    <row r="84" spans="1:17" x14ac:dyDescent="0.3">
      <c r="A84" s="2">
        <v>45740</v>
      </c>
      <c r="B84" t="s">
        <v>62</v>
      </c>
      <c r="C84" t="s">
        <v>56</v>
      </c>
      <c r="D84" t="s">
        <v>59</v>
      </c>
      <c r="E84" t="s">
        <v>60</v>
      </c>
      <c r="F84" t="s">
        <v>35</v>
      </c>
      <c r="G84" t="s">
        <v>37</v>
      </c>
      <c r="H84">
        <v>9</v>
      </c>
      <c r="I84">
        <v>23450</v>
      </c>
      <c r="K84" s="4"/>
      <c r="L84" s="4"/>
      <c r="M84" t="s">
        <v>51</v>
      </c>
      <c r="N84" t="s">
        <v>52</v>
      </c>
      <c r="O84" s="4"/>
      <c r="P84" s="3"/>
      <c r="Q84" s="5"/>
    </row>
    <row r="85" spans="1:17" x14ac:dyDescent="0.3">
      <c r="A85" s="2">
        <v>45741</v>
      </c>
      <c r="B85" t="s">
        <v>62</v>
      </c>
      <c r="C85" t="s">
        <v>43</v>
      </c>
      <c r="D85" t="s">
        <v>44</v>
      </c>
      <c r="E85" t="s">
        <v>45</v>
      </c>
      <c r="F85" t="s">
        <v>35</v>
      </c>
      <c r="G85" t="s">
        <v>34</v>
      </c>
      <c r="H85">
        <v>17</v>
      </c>
      <c r="I85">
        <v>5089</v>
      </c>
      <c r="K85" s="4"/>
      <c r="L85" s="4"/>
      <c r="M85" t="s">
        <v>46</v>
      </c>
      <c r="N85" t="s">
        <v>47</v>
      </c>
      <c r="O85" s="4"/>
      <c r="P85" s="3"/>
      <c r="Q85" s="5"/>
    </row>
    <row r="86" spans="1:17" x14ac:dyDescent="0.3">
      <c r="A86" s="2">
        <v>45742</v>
      </c>
      <c r="B86" t="s">
        <v>62</v>
      </c>
      <c r="C86" t="s">
        <v>48</v>
      </c>
      <c r="D86" t="s">
        <v>49</v>
      </c>
      <c r="E86" t="s">
        <v>50</v>
      </c>
      <c r="F86" t="s">
        <v>35</v>
      </c>
      <c r="G86" t="s">
        <v>36</v>
      </c>
      <c r="H86">
        <v>20</v>
      </c>
      <c r="I86">
        <v>27426</v>
      </c>
      <c r="K86" s="4"/>
      <c r="L86" s="4"/>
      <c r="M86" t="s">
        <v>51</v>
      </c>
      <c r="N86" t="s">
        <v>52</v>
      </c>
      <c r="O86" s="4"/>
      <c r="P86" s="3"/>
      <c r="Q86" s="5"/>
    </row>
    <row r="87" spans="1:17" x14ac:dyDescent="0.3">
      <c r="A87" s="2">
        <v>45743</v>
      </c>
      <c r="B87" t="s">
        <v>62</v>
      </c>
      <c r="C87" t="s">
        <v>53</v>
      </c>
      <c r="D87" t="s">
        <v>54</v>
      </c>
      <c r="E87" t="s">
        <v>55</v>
      </c>
      <c r="F87" t="s">
        <v>39</v>
      </c>
      <c r="G87" t="s">
        <v>38</v>
      </c>
      <c r="H87">
        <v>16</v>
      </c>
      <c r="I87">
        <v>2049</v>
      </c>
      <c r="K87" s="4"/>
      <c r="L87" s="4"/>
      <c r="M87" t="s">
        <v>46</v>
      </c>
      <c r="N87" t="s">
        <v>47</v>
      </c>
      <c r="O87" s="4"/>
      <c r="P87" s="3"/>
      <c r="Q87" s="5"/>
    </row>
    <row r="88" spans="1:17" x14ac:dyDescent="0.3">
      <c r="A88" s="2">
        <v>45744</v>
      </c>
      <c r="B88" t="s">
        <v>62</v>
      </c>
      <c r="C88" t="s">
        <v>56</v>
      </c>
      <c r="D88" t="s">
        <v>57</v>
      </c>
      <c r="E88" t="s">
        <v>58</v>
      </c>
      <c r="F88" t="s">
        <v>41</v>
      </c>
      <c r="G88" t="s">
        <v>40</v>
      </c>
      <c r="H88">
        <v>20</v>
      </c>
      <c r="I88">
        <v>46604</v>
      </c>
      <c r="K88" s="4"/>
      <c r="L88" s="4"/>
      <c r="M88" t="s">
        <v>51</v>
      </c>
      <c r="N88" t="s">
        <v>52</v>
      </c>
      <c r="O88" s="4"/>
      <c r="P88" s="3"/>
      <c r="Q88" s="5"/>
    </row>
    <row r="89" spans="1:17" x14ac:dyDescent="0.3">
      <c r="A89" s="2">
        <v>45745</v>
      </c>
      <c r="B89" t="s">
        <v>62</v>
      </c>
      <c r="C89" t="s">
        <v>43</v>
      </c>
      <c r="D89" t="s">
        <v>59</v>
      </c>
      <c r="E89" t="s">
        <v>60</v>
      </c>
      <c r="F89" t="s">
        <v>35</v>
      </c>
      <c r="G89" t="s">
        <v>37</v>
      </c>
      <c r="H89">
        <v>2</v>
      </c>
      <c r="I89">
        <v>22810</v>
      </c>
      <c r="K89" s="4"/>
      <c r="L89" s="4"/>
      <c r="M89" t="s">
        <v>46</v>
      </c>
      <c r="N89" t="s">
        <v>47</v>
      </c>
      <c r="O89" s="4"/>
      <c r="P89" s="3"/>
      <c r="Q89" s="5"/>
    </row>
    <row r="90" spans="1:17" x14ac:dyDescent="0.3">
      <c r="A90" s="2">
        <v>45746</v>
      </c>
      <c r="B90" t="s">
        <v>62</v>
      </c>
      <c r="C90" t="s">
        <v>48</v>
      </c>
      <c r="D90" t="s">
        <v>44</v>
      </c>
      <c r="E90" t="s">
        <v>45</v>
      </c>
      <c r="F90" t="s">
        <v>35</v>
      </c>
      <c r="G90" t="s">
        <v>34</v>
      </c>
      <c r="H90">
        <v>4</v>
      </c>
      <c r="I90">
        <v>22170</v>
      </c>
      <c r="K90" s="4"/>
      <c r="L90" s="4"/>
      <c r="M90" t="s">
        <v>51</v>
      </c>
      <c r="N90" t="s">
        <v>52</v>
      </c>
      <c r="O90" s="4"/>
      <c r="P90" s="3"/>
      <c r="Q90" s="5"/>
    </row>
    <row r="91" spans="1:17" x14ac:dyDescent="0.3">
      <c r="A91" s="2">
        <v>45747</v>
      </c>
      <c r="B91" t="s">
        <v>62</v>
      </c>
      <c r="C91" t="s">
        <v>53</v>
      </c>
      <c r="D91" t="s">
        <v>49</v>
      </c>
      <c r="E91" t="s">
        <v>50</v>
      </c>
      <c r="F91" t="s">
        <v>35</v>
      </c>
      <c r="G91" t="s">
        <v>36</v>
      </c>
      <c r="H91">
        <v>12</v>
      </c>
      <c r="I91">
        <v>38989</v>
      </c>
      <c r="K91" s="4"/>
      <c r="L91" s="4"/>
      <c r="M91" t="s">
        <v>46</v>
      </c>
      <c r="N91" t="s">
        <v>47</v>
      </c>
      <c r="O91" s="4"/>
      <c r="P91" s="3"/>
      <c r="Q91" s="5"/>
    </row>
    <row r="92" spans="1:17" x14ac:dyDescent="0.3">
      <c r="A92" s="2">
        <v>45748</v>
      </c>
      <c r="B92" t="s">
        <v>62</v>
      </c>
      <c r="C92" t="s">
        <v>56</v>
      </c>
      <c r="D92" t="s">
        <v>54</v>
      </c>
      <c r="E92" t="s">
        <v>55</v>
      </c>
      <c r="F92" t="s">
        <v>39</v>
      </c>
      <c r="G92" t="s">
        <v>38</v>
      </c>
      <c r="H92">
        <v>9</v>
      </c>
      <c r="I92">
        <v>23628</v>
      </c>
      <c r="K92" s="4"/>
      <c r="L92" s="4"/>
      <c r="M92" t="s">
        <v>51</v>
      </c>
      <c r="N92" t="s">
        <v>52</v>
      </c>
      <c r="O92" s="4"/>
      <c r="P92" s="3"/>
      <c r="Q92" s="5"/>
    </row>
    <row r="93" spans="1:17" x14ac:dyDescent="0.3">
      <c r="A93" s="2">
        <v>45749</v>
      </c>
      <c r="B93" t="s">
        <v>62</v>
      </c>
      <c r="C93" t="s">
        <v>43</v>
      </c>
      <c r="D93" t="s">
        <v>57</v>
      </c>
      <c r="E93" t="s">
        <v>58</v>
      </c>
      <c r="F93" t="s">
        <v>41</v>
      </c>
      <c r="G93" t="s">
        <v>40</v>
      </c>
      <c r="H93">
        <v>2</v>
      </c>
      <c r="I93">
        <v>5211</v>
      </c>
      <c r="K93" s="4"/>
      <c r="L93" s="4"/>
      <c r="M93" t="s">
        <v>46</v>
      </c>
      <c r="N93" t="s">
        <v>47</v>
      </c>
      <c r="O93" s="4"/>
      <c r="P93" s="3"/>
      <c r="Q93" s="5"/>
    </row>
    <row r="94" spans="1:17" x14ac:dyDescent="0.3">
      <c r="A94" s="2">
        <v>45750</v>
      </c>
      <c r="B94" t="s">
        <v>62</v>
      </c>
      <c r="C94" t="s">
        <v>48</v>
      </c>
      <c r="D94" t="s">
        <v>59</v>
      </c>
      <c r="E94" t="s">
        <v>60</v>
      </c>
      <c r="F94" t="s">
        <v>35</v>
      </c>
      <c r="G94" t="s">
        <v>37</v>
      </c>
      <c r="H94">
        <v>11</v>
      </c>
      <c r="I94">
        <v>13061</v>
      </c>
      <c r="K94" s="4"/>
      <c r="L94" s="4"/>
      <c r="M94" t="s">
        <v>51</v>
      </c>
      <c r="N94" t="s">
        <v>52</v>
      </c>
      <c r="O94" s="4"/>
      <c r="P94" s="3"/>
      <c r="Q94" s="5"/>
    </row>
    <row r="95" spans="1:17" x14ac:dyDescent="0.3">
      <c r="A95" s="2">
        <v>45751</v>
      </c>
      <c r="B95" t="s">
        <v>63</v>
      </c>
      <c r="C95" t="s">
        <v>53</v>
      </c>
      <c r="D95" t="s">
        <v>44</v>
      </c>
      <c r="E95" t="s">
        <v>45</v>
      </c>
      <c r="F95" t="s">
        <v>35</v>
      </c>
      <c r="G95" t="s">
        <v>34</v>
      </c>
      <c r="H95">
        <v>1</v>
      </c>
      <c r="I95">
        <v>7598</v>
      </c>
      <c r="K95" s="4"/>
      <c r="L95" s="4"/>
      <c r="M95" t="s">
        <v>46</v>
      </c>
      <c r="N95" t="s">
        <v>47</v>
      </c>
      <c r="O95" s="4"/>
      <c r="P95" s="3"/>
      <c r="Q95" s="5"/>
    </row>
    <row r="96" spans="1:17" x14ac:dyDescent="0.3">
      <c r="A96" s="2">
        <v>45752</v>
      </c>
      <c r="B96" t="s">
        <v>63</v>
      </c>
      <c r="C96" t="s">
        <v>56</v>
      </c>
      <c r="D96" t="s">
        <v>49</v>
      </c>
      <c r="E96" t="s">
        <v>50</v>
      </c>
      <c r="F96" t="s">
        <v>35</v>
      </c>
      <c r="G96" t="s">
        <v>36</v>
      </c>
      <c r="H96">
        <v>9</v>
      </c>
      <c r="I96">
        <v>39109</v>
      </c>
      <c r="K96" s="4"/>
      <c r="L96" s="4"/>
      <c r="M96" t="s">
        <v>51</v>
      </c>
      <c r="N96" t="s">
        <v>52</v>
      </c>
      <c r="O96" s="4"/>
      <c r="P96" s="3"/>
      <c r="Q96" s="5"/>
    </row>
    <row r="97" spans="1:17" x14ac:dyDescent="0.3">
      <c r="A97" s="2">
        <v>45753</v>
      </c>
      <c r="B97" t="s">
        <v>63</v>
      </c>
      <c r="C97" t="s">
        <v>43</v>
      </c>
      <c r="D97" t="s">
        <v>54</v>
      </c>
      <c r="E97" t="s">
        <v>55</v>
      </c>
      <c r="F97" t="s">
        <v>39</v>
      </c>
      <c r="G97" t="s">
        <v>38</v>
      </c>
      <c r="H97">
        <v>17</v>
      </c>
      <c r="I97">
        <v>26772</v>
      </c>
      <c r="K97" s="4"/>
      <c r="L97" s="4"/>
      <c r="M97" t="s">
        <v>46</v>
      </c>
      <c r="N97" t="s">
        <v>47</v>
      </c>
      <c r="O97" s="4"/>
      <c r="P97" s="3"/>
      <c r="Q97" s="5"/>
    </row>
    <row r="98" spans="1:17" x14ac:dyDescent="0.3">
      <c r="A98" s="2">
        <v>45754</v>
      </c>
      <c r="B98" t="s">
        <v>63</v>
      </c>
      <c r="C98" t="s">
        <v>48</v>
      </c>
      <c r="D98" t="s">
        <v>57</v>
      </c>
      <c r="E98" t="s">
        <v>58</v>
      </c>
      <c r="F98" t="s">
        <v>41</v>
      </c>
      <c r="G98" t="s">
        <v>40</v>
      </c>
      <c r="H98">
        <v>18</v>
      </c>
      <c r="I98">
        <v>16486</v>
      </c>
      <c r="K98" s="4"/>
      <c r="L98" s="4"/>
      <c r="M98" t="s">
        <v>51</v>
      </c>
      <c r="N98" t="s">
        <v>52</v>
      </c>
      <c r="O98" s="4"/>
      <c r="P98" s="3"/>
      <c r="Q98" s="5"/>
    </row>
    <row r="99" spans="1:17" x14ac:dyDescent="0.3">
      <c r="A99" s="2">
        <v>45755</v>
      </c>
      <c r="B99" t="s">
        <v>63</v>
      </c>
      <c r="C99" t="s">
        <v>53</v>
      </c>
      <c r="D99" t="s">
        <v>59</v>
      </c>
      <c r="E99" t="s">
        <v>60</v>
      </c>
      <c r="F99" t="s">
        <v>35</v>
      </c>
      <c r="G99" t="s">
        <v>37</v>
      </c>
      <c r="H99">
        <v>7</v>
      </c>
      <c r="I99">
        <v>29309</v>
      </c>
      <c r="K99" s="4"/>
      <c r="L99" s="4"/>
      <c r="M99" t="s">
        <v>46</v>
      </c>
      <c r="N99" t="s">
        <v>47</v>
      </c>
      <c r="O99" s="4"/>
      <c r="P99" s="3"/>
      <c r="Q99" s="5"/>
    </row>
    <row r="100" spans="1:17" x14ac:dyDescent="0.3">
      <c r="A100" s="2">
        <v>45756</v>
      </c>
      <c r="B100" t="s">
        <v>63</v>
      </c>
      <c r="C100" t="s">
        <v>56</v>
      </c>
      <c r="D100" t="s">
        <v>44</v>
      </c>
      <c r="E100" t="s">
        <v>45</v>
      </c>
      <c r="F100" t="s">
        <v>35</v>
      </c>
      <c r="G100" t="s">
        <v>34</v>
      </c>
      <c r="H100">
        <v>4</v>
      </c>
      <c r="I100">
        <v>39268</v>
      </c>
      <c r="K100" s="4"/>
      <c r="L100" s="4"/>
      <c r="M100" t="s">
        <v>51</v>
      </c>
      <c r="N100" t="s">
        <v>52</v>
      </c>
      <c r="O100" s="4"/>
      <c r="P100" s="3"/>
      <c r="Q100" s="5"/>
    </row>
    <row r="101" spans="1:17" x14ac:dyDescent="0.3">
      <c r="A101" s="2">
        <v>45757</v>
      </c>
      <c r="B101" t="s">
        <v>63</v>
      </c>
      <c r="C101" t="s">
        <v>43</v>
      </c>
      <c r="D101" t="s">
        <v>49</v>
      </c>
      <c r="E101" t="s">
        <v>50</v>
      </c>
      <c r="F101" t="s">
        <v>35</v>
      </c>
      <c r="G101" t="s">
        <v>36</v>
      </c>
      <c r="H101">
        <v>18</v>
      </c>
      <c r="I101">
        <v>37530</v>
      </c>
      <c r="K101" s="4"/>
      <c r="L101" s="4"/>
      <c r="M101" t="s">
        <v>46</v>
      </c>
      <c r="N101" t="s">
        <v>47</v>
      </c>
      <c r="O101" s="4"/>
      <c r="P101" s="3"/>
      <c r="Q101"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2D65A-1B74-49E0-B2C1-E8EB2A515156}">
  <dimension ref="A1:Q101"/>
  <sheetViews>
    <sheetView workbookViewId="0">
      <selection activeCell="R7" sqref="R7"/>
    </sheetView>
  </sheetViews>
  <sheetFormatPr defaultRowHeight="14.4" x14ac:dyDescent="0.3"/>
  <cols>
    <col min="1" max="1" width="10.33203125" bestFit="1" customWidth="1"/>
    <col min="5" max="5" width="10.88671875" customWidth="1"/>
    <col min="6" max="6" width="10.21875" customWidth="1"/>
    <col min="7" max="7" width="9.44140625" customWidth="1"/>
    <col min="10" max="10" width="12.44140625" bestFit="1" customWidth="1"/>
    <col min="11" max="11" width="9.21875" bestFit="1" customWidth="1"/>
    <col min="12" max="12" width="10" bestFit="1" customWidth="1"/>
    <col min="13" max="13" width="15.21875" customWidth="1"/>
    <col min="14" max="14" width="9.6640625" customWidth="1"/>
    <col min="15" max="15" width="10.5546875" bestFit="1" customWidth="1"/>
    <col min="16" max="16" width="18.33203125" bestFit="1" customWidth="1"/>
    <col min="17" max="17" width="13.33203125" bestFit="1"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v>45658</v>
      </c>
      <c r="B2" t="s">
        <v>17</v>
      </c>
      <c r="C2" t="s">
        <v>18</v>
      </c>
      <c r="D2" t="s">
        <v>19</v>
      </c>
      <c r="E2" t="str">
        <f>CHOOSE(MOD(ROW(),5)+1,"Ravi","Priya","Aman","Sneha","Rahul")</f>
        <v>Aman</v>
      </c>
      <c r="F2" t="s">
        <v>20</v>
      </c>
      <c r="G2" t="s">
        <v>21</v>
      </c>
      <c r="H2">
        <v>5</v>
      </c>
      <c r="I2">
        <v>50000</v>
      </c>
      <c r="M2" t="s">
        <v>22</v>
      </c>
      <c r="N2" t="s">
        <v>23</v>
      </c>
      <c r="P2" s="3"/>
    </row>
    <row r="3" spans="1:17" x14ac:dyDescent="0.3">
      <c r="A3" s="2">
        <v>45659</v>
      </c>
      <c r="B3" t="s">
        <v>17</v>
      </c>
      <c r="C3" t="s">
        <v>25</v>
      </c>
      <c r="D3" t="s">
        <v>26</v>
      </c>
      <c r="E3" t="str">
        <f t="shared" ref="E3:E4" si="0">CHOOSE(MOD(ROW(),5)+1,"Ravi","Priya","Aman","Sneha","Rahul")</f>
        <v>Sneha</v>
      </c>
      <c r="F3" t="s">
        <v>27</v>
      </c>
      <c r="G3" t="s">
        <v>28</v>
      </c>
      <c r="H3">
        <v>20</v>
      </c>
      <c r="I3">
        <v>1000</v>
      </c>
      <c r="M3" t="s">
        <v>29</v>
      </c>
      <c r="N3" t="s">
        <v>30</v>
      </c>
      <c r="P3" s="3"/>
      <c r="Q3" s="5"/>
    </row>
    <row r="4" spans="1:17" x14ac:dyDescent="0.3">
      <c r="A4" s="2">
        <v>45660</v>
      </c>
      <c r="B4" t="s">
        <v>17</v>
      </c>
      <c r="C4" t="s">
        <v>31</v>
      </c>
      <c r="D4" t="s">
        <v>32</v>
      </c>
      <c r="E4" t="str">
        <f t="shared" si="0"/>
        <v>Rahul</v>
      </c>
      <c r="F4" t="s">
        <v>20</v>
      </c>
      <c r="G4" t="s">
        <v>33</v>
      </c>
      <c r="H4">
        <v>10</v>
      </c>
      <c r="I4">
        <v>20000</v>
      </c>
      <c r="M4" t="s">
        <v>22</v>
      </c>
      <c r="N4" t="s">
        <v>23</v>
      </c>
      <c r="P4" s="3"/>
      <c r="Q4" s="5"/>
    </row>
    <row r="5" spans="1:17" x14ac:dyDescent="0.3">
      <c r="A5" s="2">
        <v>45661</v>
      </c>
      <c r="B5" t="s">
        <v>42</v>
      </c>
      <c r="C5" t="s">
        <v>43</v>
      </c>
      <c r="D5" t="s">
        <v>44</v>
      </c>
      <c r="E5" t="s">
        <v>45</v>
      </c>
      <c r="F5" t="s">
        <v>35</v>
      </c>
      <c r="G5" t="s">
        <v>34</v>
      </c>
      <c r="H5">
        <v>11</v>
      </c>
      <c r="I5">
        <v>25100</v>
      </c>
      <c r="K5" s="4"/>
      <c r="L5" s="4"/>
      <c r="M5" t="s">
        <v>46</v>
      </c>
      <c r="N5" t="s">
        <v>47</v>
      </c>
      <c r="O5" s="4"/>
      <c r="P5" s="3"/>
      <c r="Q5" s="5"/>
    </row>
    <row r="6" spans="1:17" x14ac:dyDescent="0.3">
      <c r="A6" s="2">
        <v>45662</v>
      </c>
      <c r="B6" t="s">
        <v>42</v>
      </c>
      <c r="C6" t="s">
        <v>48</v>
      </c>
      <c r="D6" t="s">
        <v>49</v>
      </c>
      <c r="E6" t="s">
        <v>50</v>
      </c>
      <c r="F6" t="s">
        <v>35</v>
      </c>
      <c r="G6" t="s">
        <v>36</v>
      </c>
      <c r="H6">
        <v>15</v>
      </c>
      <c r="I6">
        <v>15875</v>
      </c>
      <c r="K6" s="4"/>
      <c r="L6" s="4"/>
      <c r="M6" t="s">
        <v>51</v>
      </c>
      <c r="N6" t="s">
        <v>52</v>
      </c>
      <c r="O6" s="4"/>
      <c r="P6" s="3"/>
      <c r="Q6" s="5"/>
    </row>
    <row r="7" spans="1:17" x14ac:dyDescent="0.3">
      <c r="A7" s="2">
        <v>45663</v>
      </c>
      <c r="B7" t="s">
        <v>42</v>
      </c>
      <c r="C7" t="s">
        <v>53</v>
      </c>
      <c r="D7" t="s">
        <v>54</v>
      </c>
      <c r="E7" t="s">
        <v>55</v>
      </c>
      <c r="F7" t="s">
        <v>39</v>
      </c>
      <c r="G7" t="s">
        <v>38</v>
      </c>
      <c r="H7">
        <v>3</v>
      </c>
      <c r="I7">
        <v>46450</v>
      </c>
      <c r="K7" s="4"/>
      <c r="L7" s="4"/>
      <c r="M7" t="s">
        <v>46</v>
      </c>
      <c r="N7" t="s">
        <v>47</v>
      </c>
      <c r="O7" s="4"/>
      <c r="P7" s="3"/>
      <c r="Q7" s="5"/>
    </row>
    <row r="8" spans="1:17" x14ac:dyDescent="0.3">
      <c r="A8" s="2">
        <v>45664</v>
      </c>
      <c r="B8" t="s">
        <v>42</v>
      </c>
      <c r="C8" t="s">
        <v>56</v>
      </c>
      <c r="D8" t="s">
        <v>57</v>
      </c>
      <c r="E8" t="s">
        <v>58</v>
      </c>
      <c r="F8" t="s">
        <v>41</v>
      </c>
      <c r="G8" t="s">
        <v>40</v>
      </c>
      <c r="H8">
        <v>4</v>
      </c>
      <c r="I8">
        <v>11800</v>
      </c>
      <c r="K8" s="4"/>
      <c r="L8" s="4"/>
      <c r="M8" t="s">
        <v>51</v>
      </c>
      <c r="N8" t="s">
        <v>52</v>
      </c>
      <c r="O8" s="4"/>
      <c r="P8" s="3"/>
      <c r="Q8" s="5"/>
    </row>
    <row r="9" spans="1:17" x14ac:dyDescent="0.3">
      <c r="A9" s="2">
        <v>45665</v>
      </c>
      <c r="B9" t="s">
        <v>42</v>
      </c>
      <c r="C9" t="s">
        <v>43</v>
      </c>
      <c r="D9" t="s">
        <v>59</v>
      </c>
      <c r="E9" t="s">
        <v>60</v>
      </c>
      <c r="F9" t="s">
        <v>35</v>
      </c>
      <c r="G9" t="s">
        <v>37</v>
      </c>
      <c r="H9">
        <v>12</v>
      </c>
      <c r="I9">
        <v>40414</v>
      </c>
      <c r="K9" s="4"/>
      <c r="L9" s="4"/>
      <c r="M9" t="s">
        <v>46</v>
      </c>
      <c r="N9" t="s">
        <v>47</v>
      </c>
      <c r="O9" s="4"/>
      <c r="P9" s="3"/>
      <c r="Q9" s="5"/>
    </row>
    <row r="10" spans="1:17" x14ac:dyDescent="0.3">
      <c r="A10" s="2">
        <v>45666</v>
      </c>
      <c r="B10" t="s">
        <v>42</v>
      </c>
      <c r="C10" t="s">
        <v>48</v>
      </c>
      <c r="D10" t="s">
        <v>44</v>
      </c>
      <c r="E10" t="s">
        <v>45</v>
      </c>
      <c r="F10" t="s">
        <v>35</v>
      </c>
      <c r="G10" t="s">
        <v>34</v>
      </c>
      <c r="H10">
        <v>17</v>
      </c>
      <c r="I10">
        <v>21553</v>
      </c>
      <c r="K10" s="4"/>
      <c r="L10" s="4"/>
      <c r="M10" t="s">
        <v>51</v>
      </c>
      <c r="N10" t="s">
        <v>52</v>
      </c>
      <c r="O10" s="4"/>
      <c r="P10" s="3"/>
      <c r="Q10" s="5"/>
    </row>
    <row r="11" spans="1:17" x14ac:dyDescent="0.3">
      <c r="A11" s="2">
        <v>45667</v>
      </c>
      <c r="B11" t="s">
        <v>42</v>
      </c>
      <c r="C11" t="s">
        <v>53</v>
      </c>
      <c r="D11" t="s">
        <v>49</v>
      </c>
      <c r="E11" t="s">
        <v>50</v>
      </c>
      <c r="F11" t="s">
        <v>35</v>
      </c>
      <c r="G11" t="s">
        <v>36</v>
      </c>
      <c r="H11">
        <v>15</v>
      </c>
      <c r="I11">
        <v>30141</v>
      </c>
      <c r="K11" s="4"/>
      <c r="L11" s="4"/>
      <c r="M11" t="s">
        <v>46</v>
      </c>
      <c r="N11" t="s">
        <v>47</v>
      </c>
      <c r="O11" s="4"/>
      <c r="P11" s="3"/>
      <c r="Q11" s="5"/>
    </row>
    <row r="12" spans="1:17" x14ac:dyDescent="0.3">
      <c r="A12" s="2">
        <v>45668</v>
      </c>
      <c r="B12" t="s">
        <v>42</v>
      </c>
      <c r="C12" t="s">
        <v>56</v>
      </c>
      <c r="D12" t="s">
        <v>54</v>
      </c>
      <c r="E12" t="s">
        <v>55</v>
      </c>
      <c r="F12" t="s">
        <v>39</v>
      </c>
      <c r="G12" t="s">
        <v>38</v>
      </c>
      <c r="H12">
        <v>3</v>
      </c>
      <c r="I12">
        <v>16952</v>
      </c>
      <c r="K12" s="4"/>
      <c r="L12" s="4"/>
      <c r="M12" t="s">
        <v>51</v>
      </c>
      <c r="N12" t="s">
        <v>52</v>
      </c>
      <c r="O12" s="4"/>
      <c r="P12" s="3"/>
      <c r="Q12" s="5"/>
    </row>
    <row r="13" spans="1:17" x14ac:dyDescent="0.3">
      <c r="A13" s="2">
        <v>45669</v>
      </c>
      <c r="B13" t="s">
        <v>42</v>
      </c>
      <c r="C13" t="s">
        <v>43</v>
      </c>
      <c r="D13" t="s">
        <v>57</v>
      </c>
      <c r="E13" t="s">
        <v>58</v>
      </c>
      <c r="F13" t="s">
        <v>41</v>
      </c>
      <c r="G13" t="s">
        <v>40</v>
      </c>
      <c r="H13">
        <v>14</v>
      </c>
      <c r="I13">
        <v>22934</v>
      </c>
      <c r="K13" s="4"/>
      <c r="L13" s="4"/>
      <c r="M13" t="s">
        <v>46</v>
      </c>
      <c r="N13" t="s">
        <v>47</v>
      </c>
      <c r="O13" s="4"/>
      <c r="P13" s="3"/>
      <c r="Q13" s="5"/>
    </row>
    <row r="14" spans="1:17" x14ac:dyDescent="0.3">
      <c r="A14" s="2">
        <v>45670</v>
      </c>
      <c r="B14" t="s">
        <v>42</v>
      </c>
      <c r="C14" t="s">
        <v>48</v>
      </c>
      <c r="D14" t="s">
        <v>59</v>
      </c>
      <c r="E14" t="s">
        <v>60</v>
      </c>
      <c r="F14" t="s">
        <v>35</v>
      </c>
      <c r="G14" t="s">
        <v>37</v>
      </c>
      <c r="H14">
        <v>10</v>
      </c>
      <c r="I14">
        <v>1158</v>
      </c>
      <c r="K14" s="4"/>
      <c r="L14" s="4"/>
      <c r="M14" t="s">
        <v>51</v>
      </c>
      <c r="N14" t="s">
        <v>52</v>
      </c>
      <c r="O14" s="4"/>
      <c r="P14" s="3"/>
      <c r="Q14" s="5"/>
    </row>
    <row r="15" spans="1:17" x14ac:dyDescent="0.3">
      <c r="A15" s="2">
        <v>45671</v>
      </c>
      <c r="B15" t="s">
        <v>42</v>
      </c>
      <c r="C15" t="s">
        <v>53</v>
      </c>
      <c r="D15" t="s">
        <v>44</v>
      </c>
      <c r="E15" t="s">
        <v>45</v>
      </c>
      <c r="F15" t="s">
        <v>35</v>
      </c>
      <c r="G15" t="s">
        <v>34</v>
      </c>
      <c r="H15">
        <v>4</v>
      </c>
      <c r="I15">
        <v>19249</v>
      </c>
      <c r="K15" s="4"/>
      <c r="L15" s="4"/>
      <c r="M15" t="s">
        <v>46</v>
      </c>
      <c r="N15" t="s">
        <v>47</v>
      </c>
      <c r="O15" s="4"/>
      <c r="P15" s="3"/>
      <c r="Q15" s="5"/>
    </row>
    <row r="16" spans="1:17" x14ac:dyDescent="0.3">
      <c r="A16" s="2">
        <v>45672</v>
      </c>
      <c r="B16" t="s">
        <v>42</v>
      </c>
      <c r="C16" t="s">
        <v>56</v>
      </c>
      <c r="D16" t="s">
        <v>49</v>
      </c>
      <c r="E16" t="s">
        <v>50</v>
      </c>
      <c r="F16" t="s">
        <v>35</v>
      </c>
      <c r="G16" t="s">
        <v>36</v>
      </c>
      <c r="H16">
        <v>17</v>
      </c>
      <c r="I16">
        <v>28586</v>
      </c>
      <c r="K16" s="4"/>
      <c r="L16" s="4"/>
      <c r="M16" t="s">
        <v>51</v>
      </c>
      <c r="N16" t="s">
        <v>52</v>
      </c>
      <c r="O16" s="4"/>
      <c r="P16" s="3"/>
      <c r="Q16" s="5"/>
    </row>
    <row r="17" spans="1:17" x14ac:dyDescent="0.3">
      <c r="A17" s="2">
        <v>45673</v>
      </c>
      <c r="B17" t="s">
        <v>42</v>
      </c>
      <c r="C17" t="s">
        <v>43</v>
      </c>
      <c r="D17" t="s">
        <v>54</v>
      </c>
      <c r="E17" t="s">
        <v>55</v>
      </c>
      <c r="F17" t="s">
        <v>39</v>
      </c>
      <c r="G17" t="s">
        <v>38</v>
      </c>
      <c r="H17">
        <v>11</v>
      </c>
      <c r="I17">
        <v>28387</v>
      </c>
      <c r="K17" s="4"/>
      <c r="L17" s="4"/>
      <c r="M17" t="s">
        <v>46</v>
      </c>
      <c r="N17" t="s">
        <v>47</v>
      </c>
      <c r="O17" s="4"/>
      <c r="P17" s="3"/>
      <c r="Q17" s="5"/>
    </row>
    <row r="18" spans="1:17" x14ac:dyDescent="0.3">
      <c r="A18" s="2">
        <v>45674</v>
      </c>
      <c r="B18" t="s">
        <v>42</v>
      </c>
      <c r="C18" t="s">
        <v>48</v>
      </c>
      <c r="D18" t="s">
        <v>57</v>
      </c>
      <c r="E18" t="s">
        <v>58</v>
      </c>
      <c r="F18" t="s">
        <v>41</v>
      </c>
      <c r="G18" t="s">
        <v>40</v>
      </c>
      <c r="H18">
        <v>3</v>
      </c>
      <c r="I18">
        <v>21023</v>
      </c>
      <c r="K18" s="4"/>
      <c r="L18" s="4"/>
      <c r="M18" t="s">
        <v>51</v>
      </c>
      <c r="N18" t="s">
        <v>52</v>
      </c>
      <c r="O18" s="4"/>
      <c r="P18" s="3"/>
      <c r="Q18" s="5"/>
    </row>
    <row r="19" spans="1:17" x14ac:dyDescent="0.3">
      <c r="A19" s="2">
        <v>45675</v>
      </c>
      <c r="B19" t="s">
        <v>42</v>
      </c>
      <c r="C19" t="s">
        <v>53</v>
      </c>
      <c r="D19" t="s">
        <v>59</v>
      </c>
      <c r="E19" t="s">
        <v>60</v>
      </c>
      <c r="F19" t="s">
        <v>35</v>
      </c>
      <c r="G19" t="s">
        <v>37</v>
      </c>
      <c r="H19">
        <v>13</v>
      </c>
      <c r="I19">
        <v>6565</v>
      </c>
      <c r="K19" s="4"/>
      <c r="L19" s="4"/>
      <c r="M19" t="s">
        <v>46</v>
      </c>
      <c r="N19" t="s">
        <v>47</v>
      </c>
      <c r="O19" s="4"/>
      <c r="P19" s="3"/>
      <c r="Q19" s="5"/>
    </row>
    <row r="20" spans="1:17" x14ac:dyDescent="0.3">
      <c r="A20" s="2">
        <v>45676</v>
      </c>
      <c r="B20" t="s">
        <v>42</v>
      </c>
      <c r="C20" t="s">
        <v>56</v>
      </c>
      <c r="D20" t="s">
        <v>44</v>
      </c>
      <c r="E20" t="s">
        <v>45</v>
      </c>
      <c r="F20" t="s">
        <v>35</v>
      </c>
      <c r="G20" t="s">
        <v>34</v>
      </c>
      <c r="H20">
        <v>14</v>
      </c>
      <c r="I20">
        <v>19022</v>
      </c>
      <c r="K20" s="4"/>
      <c r="L20" s="4"/>
      <c r="M20" t="s">
        <v>51</v>
      </c>
      <c r="N20" t="s">
        <v>52</v>
      </c>
      <c r="O20" s="4"/>
      <c r="P20" s="3"/>
      <c r="Q20" s="5"/>
    </row>
    <row r="21" spans="1:17" x14ac:dyDescent="0.3">
      <c r="A21" s="2">
        <v>45677</v>
      </c>
      <c r="B21" t="s">
        <v>42</v>
      </c>
      <c r="C21" t="s">
        <v>43</v>
      </c>
      <c r="D21" t="s">
        <v>49</v>
      </c>
      <c r="E21" t="s">
        <v>50</v>
      </c>
      <c r="F21" t="s">
        <v>35</v>
      </c>
      <c r="G21" t="s">
        <v>36</v>
      </c>
      <c r="H21">
        <v>19</v>
      </c>
      <c r="I21">
        <v>4317</v>
      </c>
      <c r="K21" s="4"/>
      <c r="L21" s="4"/>
      <c r="M21" t="s">
        <v>46</v>
      </c>
      <c r="N21" t="s">
        <v>47</v>
      </c>
      <c r="O21" s="4"/>
      <c r="P21" s="3"/>
      <c r="Q21" s="5"/>
    </row>
    <row r="22" spans="1:17" x14ac:dyDescent="0.3">
      <c r="A22" s="2">
        <v>45678</v>
      </c>
      <c r="B22" t="s">
        <v>42</v>
      </c>
      <c r="C22" t="s">
        <v>48</v>
      </c>
      <c r="D22" t="s">
        <v>54</v>
      </c>
      <c r="E22" t="s">
        <v>55</v>
      </c>
      <c r="F22" t="s">
        <v>39</v>
      </c>
      <c r="G22" t="s">
        <v>38</v>
      </c>
      <c r="H22">
        <v>11</v>
      </c>
      <c r="I22">
        <v>33316</v>
      </c>
      <c r="K22" s="4"/>
      <c r="L22" s="4"/>
      <c r="M22" t="s">
        <v>51</v>
      </c>
      <c r="N22" t="s">
        <v>52</v>
      </c>
      <c r="O22" s="4"/>
      <c r="P22" s="3"/>
      <c r="Q22" s="5"/>
    </row>
    <row r="23" spans="1:17" x14ac:dyDescent="0.3">
      <c r="A23" s="2">
        <v>45679</v>
      </c>
      <c r="B23" t="s">
        <v>42</v>
      </c>
      <c r="C23" t="s">
        <v>53</v>
      </c>
      <c r="D23" t="s">
        <v>57</v>
      </c>
      <c r="E23" t="s">
        <v>58</v>
      </c>
      <c r="F23" t="s">
        <v>41</v>
      </c>
      <c r="G23" t="s">
        <v>40</v>
      </c>
      <c r="H23">
        <v>7</v>
      </c>
      <c r="I23">
        <v>48287</v>
      </c>
      <c r="K23" s="4"/>
      <c r="L23" s="4"/>
      <c r="M23" t="s">
        <v>46</v>
      </c>
      <c r="N23" t="s">
        <v>47</v>
      </c>
      <c r="O23" s="4"/>
      <c r="P23" s="3"/>
      <c r="Q23" s="5"/>
    </row>
    <row r="24" spans="1:17" x14ac:dyDescent="0.3">
      <c r="A24" s="2">
        <v>45680</v>
      </c>
      <c r="B24" t="s">
        <v>42</v>
      </c>
      <c r="C24" t="s">
        <v>56</v>
      </c>
      <c r="D24" t="s">
        <v>59</v>
      </c>
      <c r="E24" t="s">
        <v>60</v>
      </c>
      <c r="F24" t="s">
        <v>35</v>
      </c>
      <c r="G24" t="s">
        <v>37</v>
      </c>
      <c r="H24">
        <v>12</v>
      </c>
      <c r="I24">
        <v>28677</v>
      </c>
      <c r="K24" s="4"/>
      <c r="L24" s="4"/>
      <c r="M24" t="s">
        <v>51</v>
      </c>
      <c r="N24" t="s">
        <v>52</v>
      </c>
      <c r="O24" s="4"/>
      <c r="P24" s="3"/>
      <c r="Q24" s="5"/>
    </row>
    <row r="25" spans="1:17" x14ac:dyDescent="0.3">
      <c r="A25" s="2">
        <v>45681</v>
      </c>
      <c r="B25" t="s">
        <v>42</v>
      </c>
      <c r="C25" t="s">
        <v>43</v>
      </c>
      <c r="D25" t="s">
        <v>44</v>
      </c>
      <c r="E25" t="s">
        <v>45</v>
      </c>
      <c r="F25" t="s">
        <v>35</v>
      </c>
      <c r="G25" t="s">
        <v>34</v>
      </c>
      <c r="H25">
        <v>1</v>
      </c>
      <c r="I25">
        <v>30818</v>
      </c>
      <c r="K25" s="4"/>
      <c r="L25" s="4"/>
      <c r="M25" t="s">
        <v>46</v>
      </c>
      <c r="N25" t="s">
        <v>47</v>
      </c>
      <c r="O25" s="4"/>
      <c r="P25" s="3"/>
      <c r="Q25" s="5"/>
    </row>
    <row r="26" spans="1:17" x14ac:dyDescent="0.3">
      <c r="A26" s="2">
        <v>45682</v>
      </c>
      <c r="B26" t="s">
        <v>42</v>
      </c>
      <c r="C26" t="s">
        <v>48</v>
      </c>
      <c r="D26" t="s">
        <v>49</v>
      </c>
      <c r="E26" t="s">
        <v>50</v>
      </c>
      <c r="F26" t="s">
        <v>35</v>
      </c>
      <c r="G26" t="s">
        <v>36</v>
      </c>
      <c r="H26">
        <v>11</v>
      </c>
      <c r="I26">
        <v>25664</v>
      </c>
      <c r="K26" s="4"/>
      <c r="L26" s="4"/>
      <c r="M26" t="s">
        <v>51</v>
      </c>
      <c r="N26" t="s">
        <v>52</v>
      </c>
      <c r="O26" s="4"/>
      <c r="P26" s="3"/>
      <c r="Q26" s="5"/>
    </row>
    <row r="27" spans="1:17" x14ac:dyDescent="0.3">
      <c r="A27" s="2">
        <v>45683</v>
      </c>
      <c r="B27" t="s">
        <v>42</v>
      </c>
      <c r="C27" t="s">
        <v>53</v>
      </c>
      <c r="D27" t="s">
        <v>54</v>
      </c>
      <c r="E27" t="s">
        <v>55</v>
      </c>
      <c r="F27" t="s">
        <v>39</v>
      </c>
      <c r="G27" t="s">
        <v>38</v>
      </c>
      <c r="H27">
        <v>2</v>
      </c>
      <c r="I27">
        <v>36369</v>
      </c>
      <c r="K27" s="4"/>
      <c r="L27" s="4"/>
      <c r="M27" t="s">
        <v>46</v>
      </c>
      <c r="N27" t="s">
        <v>47</v>
      </c>
      <c r="O27" s="4"/>
      <c r="P27" s="3"/>
      <c r="Q27" s="5"/>
    </row>
    <row r="28" spans="1:17" x14ac:dyDescent="0.3">
      <c r="A28" s="2">
        <v>45684</v>
      </c>
      <c r="B28" t="s">
        <v>42</v>
      </c>
      <c r="C28" t="s">
        <v>56</v>
      </c>
      <c r="D28" t="s">
        <v>57</v>
      </c>
      <c r="E28" t="s">
        <v>58</v>
      </c>
      <c r="F28" t="s">
        <v>41</v>
      </c>
      <c r="G28" t="s">
        <v>40</v>
      </c>
      <c r="H28">
        <v>19</v>
      </c>
      <c r="I28">
        <v>14404</v>
      </c>
      <c r="K28" s="4"/>
      <c r="L28" s="4"/>
      <c r="M28" t="s">
        <v>51</v>
      </c>
      <c r="N28" t="s">
        <v>52</v>
      </c>
      <c r="O28" s="4"/>
      <c r="P28" s="3"/>
      <c r="Q28" s="5"/>
    </row>
    <row r="29" spans="1:17" x14ac:dyDescent="0.3">
      <c r="A29" s="2">
        <v>45685</v>
      </c>
      <c r="B29" t="s">
        <v>42</v>
      </c>
      <c r="C29" t="s">
        <v>43</v>
      </c>
      <c r="D29" t="s">
        <v>59</v>
      </c>
      <c r="E29" t="s">
        <v>60</v>
      </c>
      <c r="F29" t="s">
        <v>35</v>
      </c>
      <c r="G29" t="s">
        <v>37</v>
      </c>
      <c r="H29">
        <v>12</v>
      </c>
      <c r="I29">
        <v>11388</v>
      </c>
      <c r="K29" s="4"/>
      <c r="L29" s="4"/>
      <c r="M29" t="s">
        <v>46</v>
      </c>
      <c r="N29" t="s">
        <v>47</v>
      </c>
      <c r="O29" s="4"/>
      <c r="P29" s="3"/>
      <c r="Q29" s="5"/>
    </row>
    <row r="30" spans="1:17" x14ac:dyDescent="0.3">
      <c r="A30" s="2">
        <v>45686</v>
      </c>
      <c r="B30" t="s">
        <v>42</v>
      </c>
      <c r="C30" t="s">
        <v>48</v>
      </c>
      <c r="D30" t="s">
        <v>44</v>
      </c>
      <c r="E30" t="s">
        <v>45</v>
      </c>
      <c r="F30" t="s">
        <v>35</v>
      </c>
      <c r="G30" t="s">
        <v>34</v>
      </c>
      <c r="H30">
        <v>19</v>
      </c>
      <c r="I30">
        <v>9367</v>
      </c>
      <c r="K30" s="4"/>
      <c r="L30" s="4"/>
      <c r="M30" t="s">
        <v>51</v>
      </c>
      <c r="N30" t="s">
        <v>52</v>
      </c>
      <c r="O30" s="4"/>
      <c r="P30" s="3"/>
      <c r="Q30" s="5"/>
    </row>
    <row r="31" spans="1:17" x14ac:dyDescent="0.3">
      <c r="A31" s="2">
        <v>45687</v>
      </c>
      <c r="B31" t="s">
        <v>42</v>
      </c>
      <c r="C31" t="s">
        <v>53</v>
      </c>
      <c r="D31" t="s">
        <v>49</v>
      </c>
      <c r="E31" t="s">
        <v>50</v>
      </c>
      <c r="F31" t="s">
        <v>35</v>
      </c>
      <c r="G31" t="s">
        <v>36</v>
      </c>
      <c r="H31">
        <v>15</v>
      </c>
      <c r="I31">
        <v>19329</v>
      </c>
      <c r="K31" s="4"/>
      <c r="L31" s="4"/>
      <c r="M31" t="s">
        <v>46</v>
      </c>
      <c r="N31" t="s">
        <v>47</v>
      </c>
      <c r="O31" s="4"/>
      <c r="P31" s="3"/>
      <c r="Q31" s="5"/>
    </row>
    <row r="32" spans="1:17" x14ac:dyDescent="0.3">
      <c r="A32" s="2">
        <v>45688</v>
      </c>
      <c r="B32" t="s">
        <v>42</v>
      </c>
      <c r="C32" t="s">
        <v>56</v>
      </c>
      <c r="D32" t="s">
        <v>54</v>
      </c>
      <c r="E32" t="s">
        <v>55</v>
      </c>
      <c r="F32" t="s">
        <v>39</v>
      </c>
      <c r="G32" t="s">
        <v>38</v>
      </c>
      <c r="H32">
        <v>11</v>
      </c>
      <c r="I32">
        <v>2444</v>
      </c>
      <c r="K32" s="4"/>
      <c r="L32" s="4"/>
      <c r="M32" t="s">
        <v>51</v>
      </c>
      <c r="N32" t="s">
        <v>52</v>
      </c>
      <c r="O32" s="4"/>
      <c r="P32" s="3"/>
      <c r="Q32" s="5"/>
    </row>
    <row r="33" spans="1:17" x14ac:dyDescent="0.3">
      <c r="A33" s="2">
        <v>45689</v>
      </c>
      <c r="B33" t="s">
        <v>42</v>
      </c>
      <c r="C33" t="s">
        <v>43</v>
      </c>
      <c r="D33" t="s">
        <v>57</v>
      </c>
      <c r="E33" t="s">
        <v>58</v>
      </c>
      <c r="F33" t="s">
        <v>41</v>
      </c>
      <c r="G33" t="s">
        <v>40</v>
      </c>
      <c r="H33">
        <v>7</v>
      </c>
      <c r="I33">
        <v>26445</v>
      </c>
      <c r="K33" s="4"/>
      <c r="L33" s="4"/>
      <c r="M33" t="s">
        <v>46</v>
      </c>
      <c r="N33" t="s">
        <v>47</v>
      </c>
      <c r="O33" s="4"/>
      <c r="P33" s="3"/>
      <c r="Q33" s="5"/>
    </row>
    <row r="34" spans="1:17" x14ac:dyDescent="0.3">
      <c r="A34" s="2">
        <v>45690</v>
      </c>
      <c r="B34" t="s">
        <v>42</v>
      </c>
      <c r="C34" t="s">
        <v>48</v>
      </c>
      <c r="D34" t="s">
        <v>59</v>
      </c>
      <c r="E34" t="s">
        <v>60</v>
      </c>
      <c r="F34" t="s">
        <v>35</v>
      </c>
      <c r="G34" t="s">
        <v>37</v>
      </c>
      <c r="H34">
        <v>11</v>
      </c>
      <c r="I34">
        <v>13750</v>
      </c>
      <c r="K34" s="4"/>
      <c r="L34" s="4"/>
      <c r="M34" t="s">
        <v>51</v>
      </c>
      <c r="N34" t="s">
        <v>52</v>
      </c>
      <c r="O34" s="4"/>
      <c r="P34" s="3"/>
      <c r="Q34" s="5"/>
    </row>
    <row r="35" spans="1:17" x14ac:dyDescent="0.3">
      <c r="A35" s="2">
        <v>45691</v>
      </c>
      <c r="B35" t="s">
        <v>42</v>
      </c>
      <c r="C35" t="s">
        <v>53</v>
      </c>
      <c r="D35" t="s">
        <v>44</v>
      </c>
      <c r="E35" t="s">
        <v>45</v>
      </c>
      <c r="F35" t="s">
        <v>35</v>
      </c>
      <c r="G35" t="s">
        <v>34</v>
      </c>
      <c r="H35">
        <v>6</v>
      </c>
      <c r="I35">
        <v>13980</v>
      </c>
      <c r="K35" s="4"/>
      <c r="L35" s="4"/>
      <c r="M35" t="s">
        <v>46</v>
      </c>
      <c r="N35" t="s">
        <v>47</v>
      </c>
      <c r="O35" s="4"/>
      <c r="P35" s="3"/>
      <c r="Q35" s="5"/>
    </row>
    <row r="36" spans="1:17" x14ac:dyDescent="0.3">
      <c r="A36" s="2">
        <v>45692</v>
      </c>
      <c r="B36" t="s">
        <v>61</v>
      </c>
      <c r="C36" t="s">
        <v>56</v>
      </c>
      <c r="D36" t="s">
        <v>49</v>
      </c>
      <c r="E36" t="s">
        <v>50</v>
      </c>
      <c r="F36" t="s">
        <v>35</v>
      </c>
      <c r="G36" t="s">
        <v>36</v>
      </c>
      <c r="H36">
        <v>8</v>
      </c>
      <c r="I36">
        <v>46175</v>
      </c>
      <c r="K36" s="4"/>
      <c r="L36" s="4"/>
      <c r="M36" t="s">
        <v>51</v>
      </c>
      <c r="N36" t="s">
        <v>52</v>
      </c>
      <c r="O36" s="4"/>
      <c r="P36" s="3"/>
      <c r="Q36" s="5"/>
    </row>
    <row r="37" spans="1:17" x14ac:dyDescent="0.3">
      <c r="A37" s="2">
        <v>45693</v>
      </c>
      <c r="B37" t="s">
        <v>61</v>
      </c>
      <c r="C37" t="s">
        <v>43</v>
      </c>
      <c r="D37" t="s">
        <v>54</v>
      </c>
      <c r="E37" t="s">
        <v>55</v>
      </c>
      <c r="F37" t="s">
        <v>39</v>
      </c>
      <c r="G37" t="s">
        <v>38</v>
      </c>
      <c r="H37">
        <v>5</v>
      </c>
      <c r="I37">
        <v>30283</v>
      </c>
      <c r="K37" s="4"/>
      <c r="L37" s="4"/>
      <c r="M37" t="s">
        <v>46</v>
      </c>
      <c r="N37" t="s">
        <v>47</v>
      </c>
      <c r="O37" s="4"/>
      <c r="P37" s="3"/>
      <c r="Q37" s="5"/>
    </row>
    <row r="38" spans="1:17" x14ac:dyDescent="0.3">
      <c r="A38" s="2">
        <v>45694</v>
      </c>
      <c r="B38" t="s">
        <v>61</v>
      </c>
      <c r="C38" t="s">
        <v>48</v>
      </c>
      <c r="D38" t="s">
        <v>57</v>
      </c>
      <c r="E38" t="s">
        <v>58</v>
      </c>
      <c r="F38" t="s">
        <v>41</v>
      </c>
      <c r="G38" t="s">
        <v>40</v>
      </c>
      <c r="H38">
        <v>5</v>
      </c>
      <c r="I38">
        <v>26711</v>
      </c>
      <c r="K38" s="4"/>
      <c r="L38" s="4"/>
      <c r="M38" t="s">
        <v>51</v>
      </c>
      <c r="N38" t="s">
        <v>52</v>
      </c>
      <c r="O38" s="4"/>
      <c r="P38" s="3"/>
      <c r="Q38" s="5"/>
    </row>
    <row r="39" spans="1:17" x14ac:dyDescent="0.3">
      <c r="A39" s="2">
        <v>45695</v>
      </c>
      <c r="B39" t="s">
        <v>61</v>
      </c>
      <c r="C39" t="s">
        <v>53</v>
      </c>
      <c r="D39" t="s">
        <v>59</v>
      </c>
      <c r="E39" t="s">
        <v>60</v>
      </c>
      <c r="F39" t="s">
        <v>35</v>
      </c>
      <c r="G39" t="s">
        <v>37</v>
      </c>
      <c r="H39">
        <v>17</v>
      </c>
      <c r="I39">
        <v>31867</v>
      </c>
      <c r="K39" s="4"/>
      <c r="L39" s="4"/>
      <c r="M39" t="s">
        <v>46</v>
      </c>
      <c r="N39" t="s">
        <v>47</v>
      </c>
      <c r="O39" s="4"/>
      <c r="P39" s="3"/>
      <c r="Q39" s="5"/>
    </row>
    <row r="40" spans="1:17" x14ac:dyDescent="0.3">
      <c r="A40" s="2">
        <v>45696</v>
      </c>
      <c r="B40" t="s">
        <v>61</v>
      </c>
      <c r="C40" t="s">
        <v>56</v>
      </c>
      <c r="D40" t="s">
        <v>44</v>
      </c>
      <c r="E40" t="s">
        <v>45</v>
      </c>
      <c r="F40" t="s">
        <v>35</v>
      </c>
      <c r="G40" t="s">
        <v>34</v>
      </c>
      <c r="H40">
        <v>18</v>
      </c>
      <c r="I40">
        <v>43337</v>
      </c>
      <c r="K40" s="4"/>
      <c r="L40" s="4"/>
      <c r="M40" t="s">
        <v>51</v>
      </c>
      <c r="N40" t="s">
        <v>52</v>
      </c>
      <c r="O40" s="4"/>
      <c r="P40" s="3"/>
      <c r="Q40" s="5"/>
    </row>
    <row r="41" spans="1:17" x14ac:dyDescent="0.3">
      <c r="A41" s="2">
        <v>45697</v>
      </c>
      <c r="B41" t="s">
        <v>61</v>
      </c>
      <c r="C41" t="s">
        <v>43</v>
      </c>
      <c r="D41" t="s">
        <v>49</v>
      </c>
      <c r="E41" t="s">
        <v>50</v>
      </c>
      <c r="F41" t="s">
        <v>35</v>
      </c>
      <c r="G41" t="s">
        <v>36</v>
      </c>
      <c r="H41">
        <v>15</v>
      </c>
      <c r="I41">
        <v>8094</v>
      </c>
      <c r="K41" s="4"/>
      <c r="L41" s="4"/>
      <c r="M41" t="s">
        <v>46</v>
      </c>
      <c r="N41" t="s">
        <v>47</v>
      </c>
      <c r="O41" s="4"/>
      <c r="P41" s="3"/>
      <c r="Q41" s="5"/>
    </row>
    <row r="42" spans="1:17" x14ac:dyDescent="0.3">
      <c r="A42" s="2">
        <v>45698</v>
      </c>
      <c r="B42" t="s">
        <v>61</v>
      </c>
      <c r="C42" t="s">
        <v>48</v>
      </c>
      <c r="D42" t="s">
        <v>54</v>
      </c>
      <c r="E42" t="s">
        <v>55</v>
      </c>
      <c r="F42" t="s">
        <v>39</v>
      </c>
      <c r="G42" t="s">
        <v>38</v>
      </c>
      <c r="H42">
        <v>8</v>
      </c>
      <c r="I42">
        <v>34763</v>
      </c>
      <c r="K42" s="4"/>
      <c r="L42" s="4"/>
      <c r="M42" t="s">
        <v>51</v>
      </c>
      <c r="N42" t="s">
        <v>52</v>
      </c>
      <c r="O42" s="4"/>
      <c r="P42" s="3"/>
      <c r="Q42" s="5"/>
    </row>
    <row r="43" spans="1:17" x14ac:dyDescent="0.3">
      <c r="A43" s="2">
        <v>45699</v>
      </c>
      <c r="B43" t="s">
        <v>61</v>
      </c>
      <c r="C43" t="s">
        <v>53</v>
      </c>
      <c r="D43" t="s">
        <v>57</v>
      </c>
      <c r="E43" t="s">
        <v>58</v>
      </c>
      <c r="F43" t="s">
        <v>41</v>
      </c>
      <c r="G43" t="s">
        <v>40</v>
      </c>
      <c r="H43">
        <v>14</v>
      </c>
      <c r="I43">
        <v>8150</v>
      </c>
      <c r="K43" s="4"/>
      <c r="L43" s="4"/>
      <c r="M43" t="s">
        <v>46</v>
      </c>
      <c r="N43" t="s">
        <v>47</v>
      </c>
      <c r="O43" s="4"/>
      <c r="P43" s="3"/>
      <c r="Q43" s="5"/>
    </row>
    <row r="44" spans="1:17" x14ac:dyDescent="0.3">
      <c r="A44" s="2">
        <v>45700</v>
      </c>
      <c r="B44" t="s">
        <v>61</v>
      </c>
      <c r="C44" t="s">
        <v>56</v>
      </c>
      <c r="D44" t="s">
        <v>59</v>
      </c>
      <c r="E44" t="s">
        <v>60</v>
      </c>
      <c r="F44" t="s">
        <v>35</v>
      </c>
      <c r="G44" t="s">
        <v>37</v>
      </c>
      <c r="H44">
        <v>20</v>
      </c>
      <c r="I44">
        <v>23494</v>
      </c>
      <c r="K44" s="4"/>
      <c r="L44" s="4"/>
      <c r="M44" t="s">
        <v>51</v>
      </c>
      <c r="N44" t="s">
        <v>52</v>
      </c>
      <c r="O44" s="4"/>
      <c r="P44" s="3"/>
      <c r="Q44" s="5"/>
    </row>
    <row r="45" spans="1:17" x14ac:dyDescent="0.3">
      <c r="A45" s="2">
        <v>45701</v>
      </c>
      <c r="B45" t="s">
        <v>61</v>
      </c>
      <c r="C45" t="s">
        <v>43</v>
      </c>
      <c r="D45" t="s">
        <v>44</v>
      </c>
      <c r="E45" t="s">
        <v>45</v>
      </c>
      <c r="F45" t="s">
        <v>35</v>
      </c>
      <c r="G45" t="s">
        <v>34</v>
      </c>
      <c r="H45">
        <v>20</v>
      </c>
      <c r="I45">
        <v>16396</v>
      </c>
      <c r="K45" s="4"/>
      <c r="L45" s="4"/>
      <c r="M45" t="s">
        <v>46</v>
      </c>
      <c r="N45" t="s">
        <v>47</v>
      </c>
      <c r="O45" s="4"/>
      <c r="P45" s="3"/>
      <c r="Q45" s="5"/>
    </row>
    <row r="46" spans="1:17" x14ac:dyDescent="0.3">
      <c r="A46" s="2">
        <v>45702</v>
      </c>
      <c r="B46" t="s">
        <v>61</v>
      </c>
      <c r="C46" t="s">
        <v>48</v>
      </c>
      <c r="D46" t="s">
        <v>49</v>
      </c>
      <c r="E46" t="s">
        <v>50</v>
      </c>
      <c r="F46" t="s">
        <v>35</v>
      </c>
      <c r="G46" t="s">
        <v>36</v>
      </c>
      <c r="H46">
        <v>3</v>
      </c>
      <c r="I46">
        <v>5710</v>
      </c>
      <c r="K46" s="4"/>
      <c r="L46" s="4"/>
      <c r="M46" t="s">
        <v>51</v>
      </c>
      <c r="N46" t="s">
        <v>52</v>
      </c>
      <c r="O46" s="4"/>
      <c r="P46" s="3"/>
      <c r="Q46" s="5"/>
    </row>
    <row r="47" spans="1:17" x14ac:dyDescent="0.3">
      <c r="A47" s="2">
        <v>45703</v>
      </c>
      <c r="B47" t="s">
        <v>61</v>
      </c>
      <c r="C47" t="s">
        <v>53</v>
      </c>
      <c r="D47" t="s">
        <v>54</v>
      </c>
      <c r="E47" t="s">
        <v>55</v>
      </c>
      <c r="F47" t="s">
        <v>39</v>
      </c>
      <c r="G47" t="s">
        <v>38</v>
      </c>
      <c r="H47">
        <v>6</v>
      </c>
      <c r="I47">
        <v>25942</v>
      </c>
      <c r="K47" s="4"/>
      <c r="L47" s="4"/>
      <c r="M47" t="s">
        <v>46</v>
      </c>
      <c r="N47" t="s">
        <v>47</v>
      </c>
      <c r="O47" s="4"/>
      <c r="P47" s="3"/>
      <c r="Q47" s="5"/>
    </row>
    <row r="48" spans="1:17" x14ac:dyDescent="0.3">
      <c r="A48" s="2">
        <v>45704</v>
      </c>
      <c r="B48" t="s">
        <v>61</v>
      </c>
      <c r="C48" t="s">
        <v>56</v>
      </c>
      <c r="D48" t="s">
        <v>57</v>
      </c>
      <c r="E48" t="s">
        <v>58</v>
      </c>
      <c r="F48" t="s">
        <v>41</v>
      </c>
      <c r="G48" t="s">
        <v>40</v>
      </c>
      <c r="H48">
        <v>12</v>
      </c>
      <c r="I48">
        <v>25808</v>
      </c>
      <c r="K48" s="4"/>
      <c r="L48" s="4"/>
      <c r="M48" t="s">
        <v>51</v>
      </c>
      <c r="N48" t="s">
        <v>52</v>
      </c>
      <c r="O48" s="4"/>
      <c r="P48" s="3"/>
      <c r="Q48" s="5"/>
    </row>
    <row r="49" spans="1:17" x14ac:dyDescent="0.3">
      <c r="A49" s="2">
        <v>45705</v>
      </c>
      <c r="B49" t="s">
        <v>61</v>
      </c>
      <c r="C49" t="s">
        <v>43</v>
      </c>
      <c r="D49" t="s">
        <v>59</v>
      </c>
      <c r="E49" t="s">
        <v>60</v>
      </c>
      <c r="F49" t="s">
        <v>35</v>
      </c>
      <c r="G49" t="s">
        <v>37</v>
      </c>
      <c r="H49">
        <v>12</v>
      </c>
      <c r="I49">
        <v>41190</v>
      </c>
      <c r="K49" s="4"/>
      <c r="L49" s="4"/>
      <c r="M49" t="s">
        <v>46</v>
      </c>
      <c r="N49" t="s">
        <v>47</v>
      </c>
      <c r="O49" s="4"/>
      <c r="P49" s="3"/>
      <c r="Q49" s="5"/>
    </row>
    <row r="50" spans="1:17" x14ac:dyDescent="0.3">
      <c r="A50" s="2">
        <v>45706</v>
      </c>
      <c r="B50" t="s">
        <v>61</v>
      </c>
      <c r="C50" t="s">
        <v>48</v>
      </c>
      <c r="D50" t="s">
        <v>44</v>
      </c>
      <c r="E50" t="s">
        <v>45</v>
      </c>
      <c r="F50" t="s">
        <v>35</v>
      </c>
      <c r="G50" t="s">
        <v>34</v>
      </c>
      <c r="H50">
        <v>15</v>
      </c>
      <c r="I50">
        <v>5123</v>
      </c>
      <c r="K50" s="4"/>
      <c r="L50" s="4"/>
      <c r="M50" t="s">
        <v>51</v>
      </c>
      <c r="N50" t="s">
        <v>52</v>
      </c>
      <c r="O50" s="4"/>
      <c r="P50" s="3"/>
      <c r="Q50" s="5"/>
    </row>
    <row r="51" spans="1:17" x14ac:dyDescent="0.3">
      <c r="A51" s="2">
        <v>45707</v>
      </c>
      <c r="B51" t="s">
        <v>61</v>
      </c>
      <c r="C51" t="s">
        <v>53</v>
      </c>
      <c r="D51" t="s">
        <v>49</v>
      </c>
      <c r="E51" t="s">
        <v>50</v>
      </c>
      <c r="F51" t="s">
        <v>35</v>
      </c>
      <c r="G51" t="s">
        <v>36</v>
      </c>
      <c r="H51">
        <v>9</v>
      </c>
      <c r="I51">
        <v>8958</v>
      </c>
      <c r="K51" s="4"/>
      <c r="L51" s="4"/>
      <c r="M51" t="s">
        <v>46</v>
      </c>
      <c r="N51" t="s">
        <v>47</v>
      </c>
      <c r="O51" s="4"/>
      <c r="P51" s="3"/>
      <c r="Q51" s="5"/>
    </row>
    <row r="52" spans="1:17" x14ac:dyDescent="0.3">
      <c r="A52" s="2">
        <v>45708</v>
      </c>
      <c r="B52" t="s">
        <v>61</v>
      </c>
      <c r="C52" t="s">
        <v>56</v>
      </c>
      <c r="D52" t="s">
        <v>54</v>
      </c>
      <c r="E52" t="s">
        <v>55</v>
      </c>
      <c r="F52" t="s">
        <v>39</v>
      </c>
      <c r="G52" t="s">
        <v>38</v>
      </c>
      <c r="H52">
        <v>1</v>
      </c>
      <c r="I52">
        <v>38522</v>
      </c>
      <c r="K52" s="4"/>
      <c r="L52" s="4"/>
      <c r="M52" t="s">
        <v>51</v>
      </c>
      <c r="N52" t="s">
        <v>52</v>
      </c>
      <c r="O52" s="4"/>
      <c r="P52" s="3"/>
      <c r="Q52" s="5"/>
    </row>
    <row r="53" spans="1:17" x14ac:dyDescent="0.3">
      <c r="A53" s="2">
        <v>45709</v>
      </c>
      <c r="B53" t="s">
        <v>61</v>
      </c>
      <c r="C53" t="s">
        <v>43</v>
      </c>
      <c r="D53" t="s">
        <v>57</v>
      </c>
      <c r="E53" t="s">
        <v>58</v>
      </c>
      <c r="F53" t="s">
        <v>41</v>
      </c>
      <c r="G53" t="s">
        <v>40</v>
      </c>
      <c r="H53">
        <v>4</v>
      </c>
      <c r="I53">
        <v>2445</v>
      </c>
      <c r="K53" s="4"/>
      <c r="L53" s="4"/>
      <c r="M53" t="s">
        <v>46</v>
      </c>
      <c r="N53" t="s">
        <v>47</v>
      </c>
      <c r="O53" s="4"/>
      <c r="P53" s="3"/>
      <c r="Q53" s="5"/>
    </row>
    <row r="54" spans="1:17" x14ac:dyDescent="0.3">
      <c r="A54" s="2">
        <v>45710</v>
      </c>
      <c r="B54" t="s">
        <v>61</v>
      </c>
      <c r="C54" t="s">
        <v>48</v>
      </c>
      <c r="D54" t="s">
        <v>59</v>
      </c>
      <c r="E54" t="s">
        <v>60</v>
      </c>
      <c r="F54" t="s">
        <v>35</v>
      </c>
      <c r="G54" t="s">
        <v>37</v>
      </c>
      <c r="H54">
        <v>13</v>
      </c>
      <c r="I54">
        <v>48362</v>
      </c>
      <c r="K54" s="4"/>
      <c r="L54" s="4"/>
      <c r="M54" t="s">
        <v>51</v>
      </c>
      <c r="N54" t="s">
        <v>52</v>
      </c>
      <c r="O54" s="4"/>
      <c r="P54" s="3"/>
      <c r="Q54" s="5"/>
    </row>
    <row r="55" spans="1:17" x14ac:dyDescent="0.3">
      <c r="A55" s="2">
        <v>45711</v>
      </c>
      <c r="B55" t="s">
        <v>61</v>
      </c>
      <c r="C55" t="s">
        <v>53</v>
      </c>
      <c r="D55" t="s">
        <v>44</v>
      </c>
      <c r="E55" t="s">
        <v>45</v>
      </c>
      <c r="F55" t="s">
        <v>35</v>
      </c>
      <c r="G55" t="s">
        <v>34</v>
      </c>
      <c r="H55">
        <v>8</v>
      </c>
      <c r="I55">
        <v>11746</v>
      </c>
      <c r="K55" s="4"/>
      <c r="L55" s="4"/>
      <c r="M55" t="s">
        <v>46</v>
      </c>
      <c r="N55" t="s">
        <v>47</v>
      </c>
      <c r="O55" s="4"/>
      <c r="P55" s="3"/>
      <c r="Q55" s="5"/>
    </row>
    <row r="56" spans="1:17" x14ac:dyDescent="0.3">
      <c r="A56" s="2">
        <v>45712</v>
      </c>
      <c r="B56" t="s">
        <v>61</v>
      </c>
      <c r="C56" t="s">
        <v>56</v>
      </c>
      <c r="D56" t="s">
        <v>49</v>
      </c>
      <c r="E56" t="s">
        <v>50</v>
      </c>
      <c r="F56" t="s">
        <v>35</v>
      </c>
      <c r="G56" t="s">
        <v>36</v>
      </c>
      <c r="H56">
        <v>11</v>
      </c>
      <c r="I56">
        <v>4761</v>
      </c>
      <c r="K56" s="4"/>
      <c r="L56" s="4"/>
      <c r="M56" t="s">
        <v>51</v>
      </c>
      <c r="N56" t="s">
        <v>52</v>
      </c>
      <c r="O56" s="4"/>
      <c r="P56" s="3"/>
      <c r="Q56" s="5"/>
    </row>
    <row r="57" spans="1:17" x14ac:dyDescent="0.3">
      <c r="A57" s="2">
        <v>45713</v>
      </c>
      <c r="B57" t="s">
        <v>61</v>
      </c>
      <c r="C57" t="s">
        <v>43</v>
      </c>
      <c r="D57" t="s">
        <v>54</v>
      </c>
      <c r="E57" t="s">
        <v>55</v>
      </c>
      <c r="F57" t="s">
        <v>39</v>
      </c>
      <c r="G57" t="s">
        <v>38</v>
      </c>
      <c r="H57">
        <v>9</v>
      </c>
      <c r="I57">
        <v>26664</v>
      </c>
      <c r="K57" s="4"/>
      <c r="L57" s="4"/>
      <c r="M57" t="s">
        <v>46</v>
      </c>
      <c r="N57" t="s">
        <v>47</v>
      </c>
      <c r="O57" s="4"/>
      <c r="P57" s="3"/>
      <c r="Q57" s="5"/>
    </row>
    <row r="58" spans="1:17" x14ac:dyDescent="0.3">
      <c r="A58" s="2">
        <v>45714</v>
      </c>
      <c r="B58" t="s">
        <v>61</v>
      </c>
      <c r="C58" t="s">
        <v>48</v>
      </c>
      <c r="D58" t="s">
        <v>57</v>
      </c>
      <c r="E58" t="s">
        <v>58</v>
      </c>
      <c r="F58" t="s">
        <v>41</v>
      </c>
      <c r="G58" t="s">
        <v>40</v>
      </c>
      <c r="H58">
        <v>4</v>
      </c>
      <c r="I58">
        <v>20634</v>
      </c>
      <c r="K58" s="4"/>
      <c r="L58" s="4"/>
      <c r="M58" t="s">
        <v>51</v>
      </c>
      <c r="N58" t="s">
        <v>52</v>
      </c>
      <c r="O58" s="4"/>
      <c r="P58" s="3"/>
      <c r="Q58" s="5"/>
    </row>
    <row r="59" spans="1:17" x14ac:dyDescent="0.3">
      <c r="A59" s="2">
        <v>45715</v>
      </c>
      <c r="B59" t="s">
        <v>61</v>
      </c>
      <c r="C59" t="s">
        <v>53</v>
      </c>
      <c r="D59" t="s">
        <v>59</v>
      </c>
      <c r="E59" t="s">
        <v>60</v>
      </c>
      <c r="F59" t="s">
        <v>35</v>
      </c>
      <c r="G59" t="s">
        <v>37</v>
      </c>
      <c r="H59">
        <v>20</v>
      </c>
      <c r="I59">
        <v>4653</v>
      </c>
      <c r="K59" s="4"/>
      <c r="L59" s="4"/>
      <c r="M59" t="s">
        <v>46</v>
      </c>
      <c r="N59" t="s">
        <v>47</v>
      </c>
      <c r="O59" s="4"/>
      <c r="P59" s="3"/>
      <c r="Q59" s="5"/>
    </row>
    <row r="60" spans="1:17" x14ac:dyDescent="0.3">
      <c r="A60" s="2">
        <v>45716</v>
      </c>
      <c r="B60" t="s">
        <v>61</v>
      </c>
      <c r="C60" t="s">
        <v>56</v>
      </c>
      <c r="D60" t="s">
        <v>44</v>
      </c>
      <c r="E60" t="s">
        <v>45</v>
      </c>
      <c r="F60" t="s">
        <v>35</v>
      </c>
      <c r="G60" t="s">
        <v>34</v>
      </c>
      <c r="H60">
        <v>14</v>
      </c>
      <c r="I60">
        <v>5606</v>
      </c>
      <c r="K60" s="4"/>
      <c r="L60" s="4"/>
      <c r="M60" t="s">
        <v>51</v>
      </c>
      <c r="N60" t="s">
        <v>52</v>
      </c>
      <c r="O60" s="4"/>
      <c r="P60" s="3"/>
      <c r="Q60" s="5"/>
    </row>
    <row r="61" spans="1:17" x14ac:dyDescent="0.3">
      <c r="A61" s="2">
        <v>45717</v>
      </c>
      <c r="B61" t="s">
        <v>61</v>
      </c>
      <c r="C61" t="s">
        <v>43</v>
      </c>
      <c r="D61" t="s">
        <v>49</v>
      </c>
      <c r="E61" t="s">
        <v>50</v>
      </c>
      <c r="F61" t="s">
        <v>35</v>
      </c>
      <c r="G61" t="s">
        <v>36</v>
      </c>
      <c r="H61">
        <v>19</v>
      </c>
      <c r="I61">
        <v>1334</v>
      </c>
      <c r="K61" s="4"/>
      <c r="L61" s="4"/>
      <c r="M61" t="s">
        <v>46</v>
      </c>
      <c r="N61" t="s">
        <v>47</v>
      </c>
      <c r="O61" s="4"/>
      <c r="P61" s="3"/>
      <c r="Q61" s="5"/>
    </row>
    <row r="62" spans="1:17" x14ac:dyDescent="0.3">
      <c r="A62" s="2">
        <v>45718</v>
      </c>
      <c r="B62" t="s">
        <v>61</v>
      </c>
      <c r="C62" t="s">
        <v>48</v>
      </c>
      <c r="D62" t="s">
        <v>54</v>
      </c>
      <c r="E62" t="s">
        <v>55</v>
      </c>
      <c r="F62" t="s">
        <v>39</v>
      </c>
      <c r="G62" t="s">
        <v>38</v>
      </c>
      <c r="H62">
        <v>17</v>
      </c>
      <c r="I62">
        <v>16674</v>
      </c>
      <c r="K62" s="4"/>
      <c r="L62" s="4"/>
      <c r="M62" t="s">
        <v>51</v>
      </c>
      <c r="N62" t="s">
        <v>52</v>
      </c>
      <c r="O62" s="4"/>
      <c r="P62" s="3"/>
      <c r="Q62" s="5"/>
    </row>
    <row r="63" spans="1:17" x14ac:dyDescent="0.3">
      <c r="A63" s="2">
        <v>45719</v>
      </c>
      <c r="B63" t="s">
        <v>61</v>
      </c>
      <c r="C63" t="s">
        <v>53</v>
      </c>
      <c r="D63" t="s">
        <v>57</v>
      </c>
      <c r="E63" t="s">
        <v>58</v>
      </c>
      <c r="F63" t="s">
        <v>41</v>
      </c>
      <c r="G63" t="s">
        <v>40</v>
      </c>
      <c r="H63">
        <v>13</v>
      </c>
      <c r="I63">
        <v>37952</v>
      </c>
      <c r="K63" s="4"/>
      <c r="L63" s="4"/>
      <c r="M63" t="s">
        <v>46</v>
      </c>
      <c r="N63" t="s">
        <v>47</v>
      </c>
      <c r="O63" s="4"/>
      <c r="P63" s="3"/>
      <c r="Q63" s="5"/>
    </row>
    <row r="64" spans="1:17" x14ac:dyDescent="0.3">
      <c r="A64" s="2">
        <v>45720</v>
      </c>
      <c r="B64" t="s">
        <v>62</v>
      </c>
      <c r="C64" t="s">
        <v>56</v>
      </c>
      <c r="D64" t="s">
        <v>59</v>
      </c>
      <c r="E64" t="s">
        <v>60</v>
      </c>
      <c r="F64" t="s">
        <v>35</v>
      </c>
      <c r="G64" t="s">
        <v>37</v>
      </c>
      <c r="H64">
        <v>10</v>
      </c>
      <c r="I64">
        <v>26984</v>
      </c>
      <c r="K64" s="4"/>
      <c r="L64" s="4"/>
      <c r="M64" t="s">
        <v>51</v>
      </c>
      <c r="N64" t="s">
        <v>52</v>
      </c>
      <c r="O64" s="4"/>
      <c r="P64" s="3"/>
      <c r="Q64" s="5"/>
    </row>
    <row r="65" spans="1:17" x14ac:dyDescent="0.3">
      <c r="A65" s="2">
        <v>45721</v>
      </c>
      <c r="B65" t="s">
        <v>62</v>
      </c>
      <c r="C65" t="s">
        <v>43</v>
      </c>
      <c r="D65" t="s">
        <v>44</v>
      </c>
      <c r="E65" t="s">
        <v>45</v>
      </c>
      <c r="F65" t="s">
        <v>35</v>
      </c>
      <c r="G65" t="s">
        <v>34</v>
      </c>
      <c r="H65">
        <v>12</v>
      </c>
      <c r="I65">
        <v>21036</v>
      </c>
      <c r="K65" s="4"/>
      <c r="L65" s="4"/>
      <c r="M65" t="s">
        <v>46</v>
      </c>
      <c r="N65" t="s">
        <v>47</v>
      </c>
      <c r="O65" s="4"/>
      <c r="P65" s="3"/>
      <c r="Q65" s="5"/>
    </row>
    <row r="66" spans="1:17" x14ac:dyDescent="0.3">
      <c r="A66" s="2">
        <v>45722</v>
      </c>
      <c r="B66" t="s">
        <v>62</v>
      </c>
      <c r="C66" t="s">
        <v>48</v>
      </c>
      <c r="D66" t="s">
        <v>49</v>
      </c>
      <c r="E66" t="s">
        <v>50</v>
      </c>
      <c r="F66" t="s">
        <v>35</v>
      </c>
      <c r="G66" t="s">
        <v>36</v>
      </c>
      <c r="H66">
        <v>13</v>
      </c>
      <c r="I66">
        <v>8761</v>
      </c>
      <c r="K66" s="4"/>
      <c r="L66" s="4"/>
      <c r="M66" t="s">
        <v>51</v>
      </c>
      <c r="N66" t="s">
        <v>52</v>
      </c>
      <c r="O66" s="4"/>
      <c r="P66" s="3"/>
      <c r="Q66" s="5"/>
    </row>
    <row r="67" spans="1:17" x14ac:dyDescent="0.3">
      <c r="A67" s="2">
        <v>45723</v>
      </c>
      <c r="B67" t="s">
        <v>62</v>
      </c>
      <c r="C67" t="s">
        <v>53</v>
      </c>
      <c r="D67" t="s">
        <v>54</v>
      </c>
      <c r="E67" t="s">
        <v>55</v>
      </c>
      <c r="F67" t="s">
        <v>39</v>
      </c>
      <c r="G67" t="s">
        <v>38</v>
      </c>
      <c r="H67">
        <v>19</v>
      </c>
      <c r="I67">
        <v>44136</v>
      </c>
      <c r="K67" s="4"/>
      <c r="L67" s="4"/>
      <c r="M67" t="s">
        <v>46</v>
      </c>
      <c r="N67" t="s">
        <v>47</v>
      </c>
      <c r="O67" s="4"/>
      <c r="P67" s="3"/>
      <c r="Q67" s="5"/>
    </row>
    <row r="68" spans="1:17" x14ac:dyDescent="0.3">
      <c r="A68" s="2">
        <v>45724</v>
      </c>
      <c r="B68" t="s">
        <v>62</v>
      </c>
      <c r="C68" t="s">
        <v>56</v>
      </c>
      <c r="D68" t="s">
        <v>57</v>
      </c>
      <c r="E68" t="s">
        <v>58</v>
      </c>
      <c r="F68" t="s">
        <v>41</v>
      </c>
      <c r="G68" t="s">
        <v>40</v>
      </c>
      <c r="H68">
        <v>5</v>
      </c>
      <c r="I68">
        <v>22069</v>
      </c>
      <c r="K68" s="4"/>
      <c r="L68" s="4"/>
      <c r="M68" t="s">
        <v>51</v>
      </c>
      <c r="N68" t="s">
        <v>52</v>
      </c>
      <c r="O68" s="4"/>
      <c r="P68" s="3"/>
      <c r="Q68" s="5"/>
    </row>
    <row r="69" spans="1:17" x14ac:dyDescent="0.3">
      <c r="A69" s="2">
        <v>45725</v>
      </c>
      <c r="B69" t="s">
        <v>62</v>
      </c>
      <c r="C69" t="s">
        <v>43</v>
      </c>
      <c r="D69" t="s">
        <v>59</v>
      </c>
      <c r="E69" t="s">
        <v>60</v>
      </c>
      <c r="F69" t="s">
        <v>35</v>
      </c>
      <c r="G69" t="s">
        <v>37</v>
      </c>
      <c r="H69">
        <v>13</v>
      </c>
      <c r="I69">
        <v>4065</v>
      </c>
      <c r="K69" s="4"/>
      <c r="L69" s="4"/>
      <c r="M69" t="s">
        <v>46</v>
      </c>
      <c r="N69" t="s">
        <v>47</v>
      </c>
      <c r="O69" s="4"/>
      <c r="P69" s="3"/>
      <c r="Q69" s="5"/>
    </row>
    <row r="70" spans="1:17" x14ac:dyDescent="0.3">
      <c r="A70" s="2">
        <v>45726</v>
      </c>
      <c r="B70" t="s">
        <v>62</v>
      </c>
      <c r="C70" t="s">
        <v>48</v>
      </c>
      <c r="D70" t="s">
        <v>44</v>
      </c>
      <c r="E70" t="s">
        <v>45</v>
      </c>
      <c r="F70" t="s">
        <v>35</v>
      </c>
      <c r="G70" t="s">
        <v>34</v>
      </c>
      <c r="H70">
        <v>10</v>
      </c>
      <c r="I70">
        <v>19090</v>
      </c>
      <c r="K70" s="4"/>
      <c r="L70" s="4"/>
      <c r="M70" t="s">
        <v>51</v>
      </c>
      <c r="N70" t="s">
        <v>52</v>
      </c>
      <c r="O70" s="4"/>
      <c r="P70" s="3"/>
      <c r="Q70" s="5"/>
    </row>
    <row r="71" spans="1:17" x14ac:dyDescent="0.3">
      <c r="A71" s="2">
        <v>45727</v>
      </c>
      <c r="B71" t="s">
        <v>62</v>
      </c>
      <c r="C71" t="s">
        <v>53</v>
      </c>
      <c r="D71" t="s">
        <v>49</v>
      </c>
      <c r="E71" t="s">
        <v>50</v>
      </c>
      <c r="F71" t="s">
        <v>35</v>
      </c>
      <c r="G71" t="s">
        <v>36</v>
      </c>
      <c r="H71">
        <v>14</v>
      </c>
      <c r="I71">
        <v>10415</v>
      </c>
      <c r="K71" s="4"/>
      <c r="L71" s="4"/>
      <c r="M71" t="s">
        <v>46</v>
      </c>
      <c r="N71" t="s">
        <v>47</v>
      </c>
      <c r="O71" s="4"/>
      <c r="P71" s="3"/>
      <c r="Q71" s="5"/>
    </row>
    <row r="72" spans="1:17" x14ac:dyDescent="0.3">
      <c r="A72" s="2">
        <v>45728</v>
      </c>
      <c r="B72" t="s">
        <v>62</v>
      </c>
      <c r="C72" t="s">
        <v>56</v>
      </c>
      <c r="D72" t="s">
        <v>54</v>
      </c>
      <c r="E72" t="s">
        <v>55</v>
      </c>
      <c r="F72" t="s">
        <v>39</v>
      </c>
      <c r="G72" t="s">
        <v>38</v>
      </c>
      <c r="H72">
        <v>10</v>
      </c>
      <c r="I72">
        <v>45613</v>
      </c>
      <c r="K72" s="4"/>
      <c r="L72" s="4"/>
      <c r="M72" t="s">
        <v>51</v>
      </c>
      <c r="N72" t="s">
        <v>52</v>
      </c>
      <c r="O72" s="4"/>
      <c r="P72" s="3"/>
      <c r="Q72" s="5"/>
    </row>
    <row r="73" spans="1:17" x14ac:dyDescent="0.3">
      <c r="A73" s="2">
        <v>45729</v>
      </c>
      <c r="B73" t="s">
        <v>62</v>
      </c>
      <c r="C73" t="s">
        <v>43</v>
      </c>
      <c r="D73" t="s">
        <v>57</v>
      </c>
      <c r="E73" t="s">
        <v>58</v>
      </c>
      <c r="F73" t="s">
        <v>41</v>
      </c>
      <c r="G73" t="s">
        <v>40</v>
      </c>
      <c r="H73">
        <v>15</v>
      </c>
      <c r="I73">
        <v>2108</v>
      </c>
      <c r="K73" s="4"/>
      <c r="L73" s="4"/>
      <c r="M73" t="s">
        <v>46</v>
      </c>
      <c r="N73" t="s">
        <v>47</v>
      </c>
      <c r="O73" s="4"/>
      <c r="P73" s="3"/>
      <c r="Q73" s="5"/>
    </row>
    <row r="74" spans="1:17" x14ac:dyDescent="0.3">
      <c r="A74" s="2">
        <v>45730</v>
      </c>
      <c r="B74" t="s">
        <v>62</v>
      </c>
      <c r="C74" t="s">
        <v>48</v>
      </c>
      <c r="D74" t="s">
        <v>59</v>
      </c>
      <c r="E74" t="s">
        <v>60</v>
      </c>
      <c r="F74" t="s">
        <v>35</v>
      </c>
      <c r="G74" t="s">
        <v>37</v>
      </c>
      <c r="H74">
        <v>13</v>
      </c>
      <c r="I74">
        <v>4852</v>
      </c>
      <c r="K74" s="4"/>
      <c r="L74" s="4"/>
      <c r="M74" t="s">
        <v>51</v>
      </c>
      <c r="N74" t="s">
        <v>52</v>
      </c>
      <c r="O74" s="4"/>
      <c r="P74" s="3"/>
      <c r="Q74" s="5"/>
    </row>
    <row r="75" spans="1:17" x14ac:dyDescent="0.3">
      <c r="A75" s="2">
        <v>45731</v>
      </c>
      <c r="B75" t="s">
        <v>62</v>
      </c>
      <c r="C75" t="s">
        <v>53</v>
      </c>
      <c r="D75" t="s">
        <v>44</v>
      </c>
      <c r="E75" t="s">
        <v>45</v>
      </c>
      <c r="F75" t="s">
        <v>35</v>
      </c>
      <c r="G75" t="s">
        <v>34</v>
      </c>
      <c r="H75">
        <v>17</v>
      </c>
      <c r="I75">
        <v>1508</v>
      </c>
      <c r="K75" s="4"/>
      <c r="L75" s="4"/>
      <c r="M75" t="s">
        <v>46</v>
      </c>
      <c r="N75" t="s">
        <v>47</v>
      </c>
      <c r="O75" s="4"/>
      <c r="P75" s="3"/>
      <c r="Q75" s="5"/>
    </row>
    <row r="76" spans="1:17" x14ac:dyDescent="0.3">
      <c r="A76" s="2">
        <v>45732</v>
      </c>
      <c r="B76" t="s">
        <v>62</v>
      </c>
      <c r="C76" t="s">
        <v>56</v>
      </c>
      <c r="D76" t="s">
        <v>49</v>
      </c>
      <c r="E76" t="s">
        <v>50</v>
      </c>
      <c r="F76" t="s">
        <v>35</v>
      </c>
      <c r="G76" t="s">
        <v>36</v>
      </c>
      <c r="H76">
        <v>15</v>
      </c>
      <c r="I76">
        <v>5493</v>
      </c>
      <c r="K76" s="4"/>
      <c r="L76" s="4"/>
      <c r="M76" t="s">
        <v>51</v>
      </c>
      <c r="N76" t="s">
        <v>52</v>
      </c>
      <c r="O76" s="4"/>
      <c r="P76" s="3"/>
      <c r="Q76" s="5"/>
    </row>
    <row r="77" spans="1:17" x14ac:dyDescent="0.3">
      <c r="A77" s="2">
        <v>45733</v>
      </c>
      <c r="B77" t="s">
        <v>62</v>
      </c>
      <c r="C77" t="s">
        <v>43</v>
      </c>
      <c r="D77" t="s">
        <v>54</v>
      </c>
      <c r="E77" t="s">
        <v>55</v>
      </c>
      <c r="F77" t="s">
        <v>39</v>
      </c>
      <c r="G77" t="s">
        <v>38</v>
      </c>
      <c r="H77">
        <v>9</v>
      </c>
      <c r="I77">
        <v>21144</v>
      </c>
      <c r="K77" s="4"/>
      <c r="L77" s="4"/>
      <c r="M77" t="s">
        <v>46</v>
      </c>
      <c r="N77" t="s">
        <v>47</v>
      </c>
      <c r="O77" s="4"/>
      <c r="P77" s="3"/>
      <c r="Q77" s="5"/>
    </row>
    <row r="78" spans="1:17" x14ac:dyDescent="0.3">
      <c r="A78" s="2">
        <v>45734</v>
      </c>
      <c r="B78" t="s">
        <v>62</v>
      </c>
      <c r="C78" t="s">
        <v>48</v>
      </c>
      <c r="D78" t="s">
        <v>57</v>
      </c>
      <c r="E78" t="s">
        <v>58</v>
      </c>
      <c r="F78" t="s">
        <v>41</v>
      </c>
      <c r="G78" t="s">
        <v>40</v>
      </c>
      <c r="H78">
        <v>5</v>
      </c>
      <c r="I78">
        <v>19482</v>
      </c>
      <c r="K78" s="4"/>
      <c r="L78" s="4"/>
      <c r="M78" t="s">
        <v>51</v>
      </c>
      <c r="N78" t="s">
        <v>52</v>
      </c>
      <c r="O78" s="4"/>
      <c r="P78" s="3"/>
      <c r="Q78" s="5"/>
    </row>
    <row r="79" spans="1:17" x14ac:dyDescent="0.3">
      <c r="A79" s="2">
        <v>45735</v>
      </c>
      <c r="B79" t="s">
        <v>62</v>
      </c>
      <c r="C79" t="s">
        <v>53</v>
      </c>
      <c r="D79" t="s">
        <v>59</v>
      </c>
      <c r="E79" t="s">
        <v>60</v>
      </c>
      <c r="F79" t="s">
        <v>35</v>
      </c>
      <c r="G79" t="s">
        <v>37</v>
      </c>
      <c r="H79">
        <v>5</v>
      </c>
      <c r="I79">
        <v>12313</v>
      </c>
      <c r="K79" s="4"/>
      <c r="L79" s="4"/>
      <c r="M79" t="s">
        <v>46</v>
      </c>
      <c r="N79" t="s">
        <v>47</v>
      </c>
      <c r="O79" s="4"/>
      <c r="P79" s="3"/>
      <c r="Q79" s="5"/>
    </row>
    <row r="80" spans="1:17" x14ac:dyDescent="0.3">
      <c r="A80" s="2">
        <v>45736</v>
      </c>
      <c r="B80" t="s">
        <v>62</v>
      </c>
      <c r="C80" t="s">
        <v>56</v>
      </c>
      <c r="D80" t="s">
        <v>44</v>
      </c>
      <c r="E80" t="s">
        <v>45</v>
      </c>
      <c r="F80" t="s">
        <v>35</v>
      </c>
      <c r="G80" t="s">
        <v>34</v>
      </c>
      <c r="H80">
        <v>12</v>
      </c>
      <c r="I80">
        <v>39334</v>
      </c>
      <c r="K80" s="4"/>
      <c r="L80" s="4"/>
      <c r="M80" t="s">
        <v>51</v>
      </c>
      <c r="N80" t="s">
        <v>52</v>
      </c>
      <c r="O80" s="4"/>
      <c r="P80" s="3"/>
      <c r="Q80" s="5"/>
    </row>
    <row r="81" spans="1:17" x14ac:dyDescent="0.3">
      <c r="A81" s="2">
        <v>45737</v>
      </c>
      <c r="B81" t="s">
        <v>62</v>
      </c>
      <c r="C81" t="s">
        <v>43</v>
      </c>
      <c r="D81" t="s">
        <v>49</v>
      </c>
      <c r="E81" t="s">
        <v>50</v>
      </c>
      <c r="F81" t="s">
        <v>35</v>
      </c>
      <c r="G81" t="s">
        <v>36</v>
      </c>
      <c r="H81">
        <v>17</v>
      </c>
      <c r="I81">
        <v>31496</v>
      </c>
      <c r="K81" s="4"/>
      <c r="L81" s="4"/>
      <c r="M81" t="s">
        <v>46</v>
      </c>
      <c r="N81" t="s">
        <v>47</v>
      </c>
      <c r="O81" s="4"/>
      <c r="P81" s="3"/>
      <c r="Q81" s="5"/>
    </row>
    <row r="82" spans="1:17" x14ac:dyDescent="0.3">
      <c r="A82" s="2">
        <v>45738</v>
      </c>
      <c r="B82" t="s">
        <v>62</v>
      </c>
      <c r="C82" t="s">
        <v>48</v>
      </c>
      <c r="D82" t="s">
        <v>54</v>
      </c>
      <c r="E82" t="s">
        <v>55</v>
      </c>
      <c r="F82" t="s">
        <v>39</v>
      </c>
      <c r="G82" t="s">
        <v>38</v>
      </c>
      <c r="H82">
        <v>20</v>
      </c>
      <c r="I82">
        <v>27828</v>
      </c>
      <c r="K82" s="4"/>
      <c r="L82" s="4"/>
      <c r="M82" t="s">
        <v>51</v>
      </c>
      <c r="N82" t="s">
        <v>52</v>
      </c>
      <c r="O82" s="4"/>
      <c r="P82" s="3"/>
      <c r="Q82" s="5"/>
    </row>
    <row r="83" spans="1:17" x14ac:dyDescent="0.3">
      <c r="A83" s="2">
        <v>45739</v>
      </c>
      <c r="B83" t="s">
        <v>62</v>
      </c>
      <c r="C83" t="s">
        <v>53</v>
      </c>
      <c r="D83" t="s">
        <v>57</v>
      </c>
      <c r="E83" t="s">
        <v>58</v>
      </c>
      <c r="F83" t="s">
        <v>41</v>
      </c>
      <c r="G83" t="s">
        <v>40</v>
      </c>
      <c r="H83">
        <v>16</v>
      </c>
      <c r="I83">
        <v>25841</v>
      </c>
      <c r="K83" s="4"/>
      <c r="L83" s="4"/>
      <c r="M83" t="s">
        <v>46</v>
      </c>
      <c r="N83" t="s">
        <v>47</v>
      </c>
      <c r="O83" s="4"/>
      <c r="P83" s="3"/>
      <c r="Q83" s="5"/>
    </row>
    <row r="84" spans="1:17" x14ac:dyDescent="0.3">
      <c r="A84" s="2">
        <v>45740</v>
      </c>
      <c r="B84" t="s">
        <v>62</v>
      </c>
      <c r="C84" t="s">
        <v>56</v>
      </c>
      <c r="D84" t="s">
        <v>59</v>
      </c>
      <c r="E84" t="s">
        <v>60</v>
      </c>
      <c r="F84" t="s">
        <v>35</v>
      </c>
      <c r="G84" t="s">
        <v>37</v>
      </c>
      <c r="H84">
        <v>9</v>
      </c>
      <c r="I84">
        <v>23450</v>
      </c>
      <c r="K84" s="4"/>
      <c r="L84" s="4"/>
      <c r="M84" t="s">
        <v>51</v>
      </c>
      <c r="N84" t="s">
        <v>52</v>
      </c>
      <c r="O84" s="4"/>
      <c r="P84" s="3"/>
      <c r="Q84" s="5"/>
    </row>
    <row r="85" spans="1:17" x14ac:dyDescent="0.3">
      <c r="A85" s="2">
        <v>45741</v>
      </c>
      <c r="B85" t="s">
        <v>62</v>
      </c>
      <c r="C85" t="s">
        <v>43</v>
      </c>
      <c r="D85" t="s">
        <v>44</v>
      </c>
      <c r="E85" t="s">
        <v>45</v>
      </c>
      <c r="F85" t="s">
        <v>35</v>
      </c>
      <c r="G85" t="s">
        <v>34</v>
      </c>
      <c r="H85">
        <v>17</v>
      </c>
      <c r="I85">
        <v>5089</v>
      </c>
      <c r="K85" s="4"/>
      <c r="L85" s="4"/>
      <c r="M85" t="s">
        <v>46</v>
      </c>
      <c r="N85" t="s">
        <v>47</v>
      </c>
      <c r="O85" s="4"/>
      <c r="P85" s="3"/>
      <c r="Q85" s="5"/>
    </row>
    <row r="86" spans="1:17" x14ac:dyDescent="0.3">
      <c r="A86" s="2">
        <v>45742</v>
      </c>
      <c r="B86" t="s">
        <v>62</v>
      </c>
      <c r="C86" t="s">
        <v>48</v>
      </c>
      <c r="D86" t="s">
        <v>49</v>
      </c>
      <c r="E86" t="s">
        <v>50</v>
      </c>
      <c r="F86" t="s">
        <v>35</v>
      </c>
      <c r="G86" t="s">
        <v>36</v>
      </c>
      <c r="H86">
        <v>20</v>
      </c>
      <c r="I86">
        <v>27426</v>
      </c>
      <c r="K86" s="4"/>
      <c r="L86" s="4"/>
      <c r="M86" t="s">
        <v>51</v>
      </c>
      <c r="N86" t="s">
        <v>52</v>
      </c>
      <c r="O86" s="4"/>
      <c r="P86" s="3"/>
      <c r="Q86" s="5"/>
    </row>
    <row r="87" spans="1:17" x14ac:dyDescent="0.3">
      <c r="A87" s="2">
        <v>45743</v>
      </c>
      <c r="B87" t="s">
        <v>62</v>
      </c>
      <c r="C87" t="s">
        <v>53</v>
      </c>
      <c r="D87" t="s">
        <v>54</v>
      </c>
      <c r="E87" t="s">
        <v>55</v>
      </c>
      <c r="F87" t="s">
        <v>39</v>
      </c>
      <c r="G87" t="s">
        <v>38</v>
      </c>
      <c r="H87">
        <v>16</v>
      </c>
      <c r="I87">
        <v>2049</v>
      </c>
      <c r="K87" s="4"/>
      <c r="L87" s="4"/>
      <c r="M87" t="s">
        <v>46</v>
      </c>
      <c r="N87" t="s">
        <v>47</v>
      </c>
      <c r="O87" s="4"/>
      <c r="P87" s="3"/>
      <c r="Q87" s="5"/>
    </row>
    <row r="88" spans="1:17" x14ac:dyDescent="0.3">
      <c r="A88" s="2">
        <v>45744</v>
      </c>
      <c r="B88" t="s">
        <v>62</v>
      </c>
      <c r="C88" t="s">
        <v>56</v>
      </c>
      <c r="D88" t="s">
        <v>57</v>
      </c>
      <c r="E88" t="s">
        <v>58</v>
      </c>
      <c r="F88" t="s">
        <v>41</v>
      </c>
      <c r="G88" t="s">
        <v>40</v>
      </c>
      <c r="H88">
        <v>20</v>
      </c>
      <c r="I88">
        <v>46604</v>
      </c>
      <c r="K88" s="4"/>
      <c r="L88" s="4"/>
      <c r="M88" t="s">
        <v>51</v>
      </c>
      <c r="N88" t="s">
        <v>52</v>
      </c>
      <c r="O88" s="4"/>
      <c r="P88" s="3"/>
      <c r="Q88" s="5"/>
    </row>
    <row r="89" spans="1:17" x14ac:dyDescent="0.3">
      <c r="A89" s="2">
        <v>45745</v>
      </c>
      <c r="B89" t="s">
        <v>62</v>
      </c>
      <c r="C89" t="s">
        <v>43</v>
      </c>
      <c r="D89" t="s">
        <v>59</v>
      </c>
      <c r="E89" t="s">
        <v>60</v>
      </c>
      <c r="F89" t="s">
        <v>35</v>
      </c>
      <c r="G89" t="s">
        <v>37</v>
      </c>
      <c r="H89">
        <v>2</v>
      </c>
      <c r="I89">
        <v>22810</v>
      </c>
      <c r="K89" s="4"/>
      <c r="L89" s="4"/>
      <c r="M89" t="s">
        <v>46</v>
      </c>
      <c r="N89" t="s">
        <v>47</v>
      </c>
      <c r="O89" s="4"/>
      <c r="P89" s="3"/>
      <c r="Q89" s="5"/>
    </row>
    <row r="90" spans="1:17" x14ac:dyDescent="0.3">
      <c r="A90" s="2">
        <v>45746</v>
      </c>
      <c r="B90" t="s">
        <v>62</v>
      </c>
      <c r="C90" t="s">
        <v>48</v>
      </c>
      <c r="D90" t="s">
        <v>44</v>
      </c>
      <c r="E90" t="s">
        <v>45</v>
      </c>
      <c r="F90" t="s">
        <v>35</v>
      </c>
      <c r="G90" t="s">
        <v>34</v>
      </c>
      <c r="H90">
        <v>4</v>
      </c>
      <c r="I90">
        <v>22170</v>
      </c>
      <c r="K90" s="4"/>
      <c r="L90" s="4"/>
      <c r="M90" t="s">
        <v>51</v>
      </c>
      <c r="N90" t="s">
        <v>52</v>
      </c>
      <c r="O90" s="4"/>
      <c r="P90" s="3"/>
      <c r="Q90" s="5"/>
    </row>
    <row r="91" spans="1:17" x14ac:dyDescent="0.3">
      <c r="A91" s="2">
        <v>45747</v>
      </c>
      <c r="B91" t="s">
        <v>62</v>
      </c>
      <c r="C91" t="s">
        <v>53</v>
      </c>
      <c r="D91" t="s">
        <v>49</v>
      </c>
      <c r="E91" t="s">
        <v>50</v>
      </c>
      <c r="F91" t="s">
        <v>35</v>
      </c>
      <c r="G91" t="s">
        <v>36</v>
      </c>
      <c r="H91">
        <v>12</v>
      </c>
      <c r="I91">
        <v>38989</v>
      </c>
      <c r="K91" s="4"/>
      <c r="L91" s="4"/>
      <c r="M91" t="s">
        <v>46</v>
      </c>
      <c r="N91" t="s">
        <v>47</v>
      </c>
      <c r="O91" s="4"/>
      <c r="P91" s="3"/>
      <c r="Q91" s="5"/>
    </row>
    <row r="92" spans="1:17" x14ac:dyDescent="0.3">
      <c r="A92" s="2">
        <v>45748</v>
      </c>
      <c r="B92" t="s">
        <v>62</v>
      </c>
      <c r="C92" t="s">
        <v>56</v>
      </c>
      <c r="D92" t="s">
        <v>54</v>
      </c>
      <c r="E92" t="s">
        <v>55</v>
      </c>
      <c r="F92" t="s">
        <v>39</v>
      </c>
      <c r="G92" t="s">
        <v>38</v>
      </c>
      <c r="H92">
        <v>9</v>
      </c>
      <c r="I92">
        <v>23628</v>
      </c>
      <c r="K92" s="4"/>
      <c r="L92" s="4"/>
      <c r="M92" t="s">
        <v>51</v>
      </c>
      <c r="N92" t="s">
        <v>52</v>
      </c>
      <c r="O92" s="4"/>
      <c r="P92" s="3"/>
      <c r="Q92" s="5"/>
    </row>
    <row r="93" spans="1:17" x14ac:dyDescent="0.3">
      <c r="A93" s="2">
        <v>45749</v>
      </c>
      <c r="B93" t="s">
        <v>62</v>
      </c>
      <c r="C93" t="s">
        <v>43</v>
      </c>
      <c r="D93" t="s">
        <v>57</v>
      </c>
      <c r="E93" t="s">
        <v>58</v>
      </c>
      <c r="F93" t="s">
        <v>41</v>
      </c>
      <c r="G93" t="s">
        <v>40</v>
      </c>
      <c r="H93">
        <v>2</v>
      </c>
      <c r="I93">
        <v>5211</v>
      </c>
      <c r="K93" s="4"/>
      <c r="L93" s="4"/>
      <c r="M93" t="s">
        <v>46</v>
      </c>
      <c r="N93" t="s">
        <v>47</v>
      </c>
      <c r="O93" s="4"/>
      <c r="P93" s="3"/>
      <c r="Q93" s="5"/>
    </row>
    <row r="94" spans="1:17" x14ac:dyDescent="0.3">
      <c r="A94" s="2">
        <v>45750</v>
      </c>
      <c r="B94" t="s">
        <v>62</v>
      </c>
      <c r="C94" t="s">
        <v>48</v>
      </c>
      <c r="D94" t="s">
        <v>59</v>
      </c>
      <c r="E94" t="s">
        <v>60</v>
      </c>
      <c r="F94" t="s">
        <v>35</v>
      </c>
      <c r="G94" t="s">
        <v>37</v>
      </c>
      <c r="H94">
        <v>11</v>
      </c>
      <c r="I94">
        <v>13061</v>
      </c>
      <c r="K94" s="4"/>
      <c r="L94" s="4"/>
      <c r="M94" t="s">
        <v>51</v>
      </c>
      <c r="N94" t="s">
        <v>52</v>
      </c>
      <c r="O94" s="4"/>
      <c r="P94" s="3"/>
      <c r="Q94" s="5"/>
    </row>
    <row r="95" spans="1:17" x14ac:dyDescent="0.3">
      <c r="A95" s="2">
        <v>45751</v>
      </c>
      <c r="B95" t="s">
        <v>63</v>
      </c>
      <c r="C95" t="s">
        <v>53</v>
      </c>
      <c r="D95" t="s">
        <v>44</v>
      </c>
      <c r="E95" t="s">
        <v>45</v>
      </c>
      <c r="F95" t="s">
        <v>35</v>
      </c>
      <c r="G95" t="s">
        <v>34</v>
      </c>
      <c r="H95">
        <v>1</v>
      </c>
      <c r="I95">
        <v>7598</v>
      </c>
      <c r="K95" s="4"/>
      <c r="L95" s="4"/>
      <c r="M95" t="s">
        <v>46</v>
      </c>
      <c r="N95" t="s">
        <v>47</v>
      </c>
      <c r="O95" s="4"/>
      <c r="P95" s="3"/>
      <c r="Q95" s="5"/>
    </row>
    <row r="96" spans="1:17" x14ac:dyDescent="0.3">
      <c r="A96" s="2">
        <v>45752</v>
      </c>
      <c r="B96" t="s">
        <v>63</v>
      </c>
      <c r="C96" t="s">
        <v>56</v>
      </c>
      <c r="D96" t="s">
        <v>49</v>
      </c>
      <c r="E96" t="s">
        <v>50</v>
      </c>
      <c r="F96" t="s">
        <v>35</v>
      </c>
      <c r="G96" t="s">
        <v>36</v>
      </c>
      <c r="H96">
        <v>9</v>
      </c>
      <c r="I96">
        <v>39109</v>
      </c>
      <c r="K96" s="4"/>
      <c r="L96" s="4"/>
      <c r="M96" t="s">
        <v>51</v>
      </c>
      <c r="N96" t="s">
        <v>52</v>
      </c>
      <c r="O96" s="4"/>
      <c r="P96" s="3"/>
      <c r="Q96" s="5"/>
    </row>
    <row r="97" spans="1:17" x14ac:dyDescent="0.3">
      <c r="A97" s="2">
        <v>45753</v>
      </c>
      <c r="B97" t="s">
        <v>63</v>
      </c>
      <c r="C97" t="s">
        <v>43</v>
      </c>
      <c r="D97" t="s">
        <v>54</v>
      </c>
      <c r="E97" t="s">
        <v>55</v>
      </c>
      <c r="F97" t="s">
        <v>39</v>
      </c>
      <c r="G97" t="s">
        <v>38</v>
      </c>
      <c r="H97">
        <v>17</v>
      </c>
      <c r="I97">
        <v>26772</v>
      </c>
      <c r="K97" s="4"/>
      <c r="L97" s="4"/>
      <c r="M97" t="s">
        <v>46</v>
      </c>
      <c r="N97" t="s">
        <v>47</v>
      </c>
      <c r="O97" s="4"/>
      <c r="P97" s="3"/>
      <c r="Q97" s="5"/>
    </row>
    <row r="98" spans="1:17" x14ac:dyDescent="0.3">
      <c r="A98" s="2">
        <v>45754</v>
      </c>
      <c r="B98" t="s">
        <v>63</v>
      </c>
      <c r="C98" t="s">
        <v>48</v>
      </c>
      <c r="D98" t="s">
        <v>57</v>
      </c>
      <c r="E98" t="s">
        <v>58</v>
      </c>
      <c r="F98" t="s">
        <v>41</v>
      </c>
      <c r="G98" t="s">
        <v>40</v>
      </c>
      <c r="H98">
        <v>18</v>
      </c>
      <c r="I98">
        <v>16486</v>
      </c>
      <c r="K98" s="4"/>
      <c r="L98" s="4"/>
      <c r="M98" t="s">
        <v>51</v>
      </c>
      <c r="N98" t="s">
        <v>52</v>
      </c>
      <c r="O98" s="4"/>
      <c r="P98" s="3"/>
      <c r="Q98" s="5"/>
    </row>
    <row r="99" spans="1:17" x14ac:dyDescent="0.3">
      <c r="A99" s="2">
        <v>45755</v>
      </c>
      <c r="B99" t="s">
        <v>63</v>
      </c>
      <c r="C99" t="s">
        <v>53</v>
      </c>
      <c r="D99" t="s">
        <v>59</v>
      </c>
      <c r="E99" t="s">
        <v>60</v>
      </c>
      <c r="F99" t="s">
        <v>35</v>
      </c>
      <c r="G99" t="s">
        <v>37</v>
      </c>
      <c r="H99">
        <v>7</v>
      </c>
      <c r="I99">
        <v>29309</v>
      </c>
      <c r="K99" s="4"/>
      <c r="L99" s="4"/>
      <c r="M99" t="s">
        <v>46</v>
      </c>
      <c r="N99" t="s">
        <v>47</v>
      </c>
      <c r="O99" s="4"/>
      <c r="P99" s="3"/>
      <c r="Q99" s="5"/>
    </row>
    <row r="100" spans="1:17" x14ac:dyDescent="0.3">
      <c r="A100" s="2">
        <v>45756</v>
      </c>
      <c r="B100" t="s">
        <v>63</v>
      </c>
      <c r="C100" t="s">
        <v>56</v>
      </c>
      <c r="D100" t="s">
        <v>44</v>
      </c>
      <c r="E100" t="s">
        <v>45</v>
      </c>
      <c r="F100" t="s">
        <v>35</v>
      </c>
      <c r="G100" t="s">
        <v>34</v>
      </c>
      <c r="H100">
        <v>4</v>
      </c>
      <c r="I100">
        <v>39268</v>
      </c>
      <c r="K100" s="4"/>
      <c r="L100" s="4"/>
      <c r="M100" t="s">
        <v>51</v>
      </c>
      <c r="N100" t="s">
        <v>52</v>
      </c>
      <c r="O100" s="4"/>
      <c r="P100" s="3"/>
      <c r="Q100" s="5"/>
    </row>
    <row r="101" spans="1:17" x14ac:dyDescent="0.3">
      <c r="A101" s="2">
        <v>45757</v>
      </c>
      <c r="B101" t="s">
        <v>63</v>
      </c>
      <c r="C101" t="s">
        <v>43</v>
      </c>
      <c r="D101" t="s">
        <v>49</v>
      </c>
      <c r="E101" t="s">
        <v>50</v>
      </c>
      <c r="F101" t="s">
        <v>35</v>
      </c>
      <c r="G101" t="s">
        <v>36</v>
      </c>
      <c r="H101">
        <v>18</v>
      </c>
      <c r="I101">
        <v>37530</v>
      </c>
      <c r="K101" s="4"/>
      <c r="L101" s="4"/>
      <c r="M101" t="s">
        <v>46</v>
      </c>
      <c r="N101" t="s">
        <v>47</v>
      </c>
      <c r="O101" s="4"/>
      <c r="P101" s="3"/>
      <c r="Q101" s="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1F1F5-0C69-4F29-B3F0-6AEC8F66EB8D}">
  <dimension ref="A1:Q101"/>
  <sheetViews>
    <sheetView workbookViewId="0">
      <selection sqref="A1:Q101"/>
    </sheetView>
  </sheetViews>
  <sheetFormatPr defaultRowHeight="14.4" x14ac:dyDescent="0.3"/>
  <cols>
    <col min="1" max="1" width="10.33203125" bestFit="1" customWidth="1"/>
    <col min="2" max="2" width="10" bestFit="1" customWidth="1"/>
    <col min="5" max="5" width="10.88671875" customWidth="1"/>
    <col min="6" max="6" width="10.21875" customWidth="1"/>
    <col min="7" max="7" width="9.44140625" customWidth="1"/>
    <col min="9" max="9" width="9" bestFit="1" customWidth="1"/>
    <col min="10" max="10" width="9.88671875" customWidth="1"/>
    <col min="11" max="12" width="9.5546875" bestFit="1" customWidth="1"/>
    <col min="13" max="13" width="15.21875" customWidth="1"/>
    <col min="14" max="14" width="9.6640625" customWidth="1"/>
    <col min="15" max="15" width="10.5546875" bestFit="1" customWidth="1"/>
    <col min="16" max="16" width="15.6640625" customWidth="1"/>
    <col min="17" max="17" width="10.777343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
      <c r="A2" s="2">
        <v>45658</v>
      </c>
      <c r="B2" t="s">
        <v>42</v>
      </c>
      <c r="C2" t="s">
        <v>43</v>
      </c>
      <c r="D2" t="s">
        <v>44</v>
      </c>
      <c r="E2" t="s">
        <v>55</v>
      </c>
      <c r="F2" t="s">
        <v>35</v>
      </c>
      <c r="G2" t="s">
        <v>34</v>
      </c>
      <c r="H2" s="4">
        <v>5</v>
      </c>
      <c r="I2" s="4">
        <v>50000</v>
      </c>
      <c r="J2" s="4">
        <v>250000</v>
      </c>
      <c r="K2" s="4">
        <v>200000</v>
      </c>
      <c r="L2" s="4">
        <v>50000</v>
      </c>
      <c r="M2" t="s">
        <v>22</v>
      </c>
      <c r="N2" t="s">
        <v>52</v>
      </c>
      <c r="O2" s="4">
        <v>300000</v>
      </c>
      <c r="P2" s="3">
        <v>0.83</v>
      </c>
      <c r="Q2" t="s">
        <v>24</v>
      </c>
    </row>
    <row r="3" spans="1:17" x14ac:dyDescent="0.3">
      <c r="A3" s="2">
        <v>45659</v>
      </c>
      <c r="B3" t="s">
        <v>42</v>
      </c>
      <c r="C3" t="s">
        <v>53</v>
      </c>
      <c r="D3" t="s">
        <v>49</v>
      </c>
      <c r="E3" t="s">
        <v>58</v>
      </c>
      <c r="F3" t="s">
        <v>39</v>
      </c>
      <c r="G3" t="s">
        <v>38</v>
      </c>
      <c r="H3" s="4">
        <v>20</v>
      </c>
      <c r="I3" s="4">
        <v>1000</v>
      </c>
      <c r="J3" s="4">
        <v>20000</v>
      </c>
      <c r="K3" s="4">
        <v>12000</v>
      </c>
      <c r="L3" s="4">
        <v>8000</v>
      </c>
      <c r="M3" t="s">
        <v>29</v>
      </c>
      <c r="N3" t="s">
        <v>47</v>
      </c>
      <c r="O3" s="4">
        <v>25000</v>
      </c>
      <c r="P3" s="3">
        <v>0.8</v>
      </c>
      <c r="Q3" s="5">
        <f>(J3-J2)/J2</f>
        <v>-0.92</v>
      </c>
    </row>
    <row r="4" spans="1:17" x14ac:dyDescent="0.3">
      <c r="A4" s="2">
        <v>45660</v>
      </c>
      <c r="B4" t="s">
        <v>42</v>
      </c>
      <c r="C4" t="s">
        <v>56</v>
      </c>
      <c r="D4" t="s">
        <v>54</v>
      </c>
      <c r="E4" t="s">
        <v>60</v>
      </c>
      <c r="F4" t="s">
        <v>35</v>
      </c>
      <c r="G4" t="s">
        <v>36</v>
      </c>
      <c r="H4" s="4">
        <v>10</v>
      </c>
      <c r="I4" s="4">
        <v>20000</v>
      </c>
      <c r="J4" s="4">
        <v>200000</v>
      </c>
      <c r="K4" s="4">
        <v>150000</v>
      </c>
      <c r="L4" s="4">
        <v>50000</v>
      </c>
      <c r="M4" t="s">
        <v>22</v>
      </c>
      <c r="N4" t="s">
        <v>52</v>
      </c>
      <c r="O4" s="4">
        <v>220000</v>
      </c>
      <c r="P4" s="3">
        <v>0.91</v>
      </c>
      <c r="Q4" s="5">
        <f t="shared" ref="Q4:Q67" si="0">(J4-J3)/J3</f>
        <v>9</v>
      </c>
    </row>
    <row r="5" spans="1:17" x14ac:dyDescent="0.3">
      <c r="A5" s="2">
        <v>45661</v>
      </c>
      <c r="B5" t="s">
        <v>42</v>
      </c>
      <c r="C5" t="s">
        <v>43</v>
      </c>
      <c r="D5" t="s">
        <v>44</v>
      </c>
      <c r="E5" t="s">
        <v>45</v>
      </c>
      <c r="F5" t="s">
        <v>35</v>
      </c>
      <c r="G5" t="s">
        <v>34</v>
      </c>
      <c r="H5" s="4">
        <v>11</v>
      </c>
      <c r="I5" s="4">
        <v>25100</v>
      </c>
      <c r="J5" s="4">
        <v>276100</v>
      </c>
      <c r="K5" s="4">
        <v>220880</v>
      </c>
      <c r="L5" s="4">
        <v>55220</v>
      </c>
      <c r="M5" t="s">
        <v>46</v>
      </c>
      <c r="N5" t="s">
        <v>47</v>
      </c>
      <c r="O5" s="4">
        <v>323734.69191842189</v>
      </c>
      <c r="P5" s="3">
        <v>0.8528588590980376</v>
      </c>
      <c r="Q5" s="5">
        <f t="shared" si="0"/>
        <v>0.3805</v>
      </c>
    </row>
    <row r="6" spans="1:17" x14ac:dyDescent="0.3">
      <c r="A6" s="2">
        <v>45662</v>
      </c>
      <c r="B6" t="s">
        <v>42</v>
      </c>
      <c r="C6" t="s">
        <v>48</v>
      </c>
      <c r="D6" t="s">
        <v>49</v>
      </c>
      <c r="E6" t="s">
        <v>50</v>
      </c>
      <c r="F6" t="s">
        <v>35</v>
      </c>
      <c r="G6" t="s">
        <v>36</v>
      </c>
      <c r="H6" s="4">
        <v>15</v>
      </c>
      <c r="I6" s="4">
        <v>15875</v>
      </c>
      <c r="J6" s="4">
        <v>238125</v>
      </c>
      <c r="K6" s="4">
        <v>190500</v>
      </c>
      <c r="L6" s="4">
        <v>47625</v>
      </c>
      <c r="M6" t="s">
        <v>51</v>
      </c>
      <c r="N6" t="s">
        <v>52</v>
      </c>
      <c r="O6" s="4">
        <v>238764.86814023601</v>
      </c>
      <c r="P6" s="3">
        <v>0.99732009091111262</v>
      </c>
      <c r="Q6" s="5">
        <f t="shared" si="0"/>
        <v>-0.13754074610648315</v>
      </c>
    </row>
    <row r="7" spans="1:17" x14ac:dyDescent="0.3">
      <c r="A7" s="2">
        <v>45663</v>
      </c>
      <c r="B7" t="s">
        <v>42</v>
      </c>
      <c r="C7" t="s">
        <v>53</v>
      </c>
      <c r="D7" t="s">
        <v>54</v>
      </c>
      <c r="E7" t="s">
        <v>55</v>
      </c>
      <c r="F7" t="s">
        <v>39</v>
      </c>
      <c r="G7" t="s">
        <v>38</v>
      </c>
      <c r="H7" s="4">
        <v>3</v>
      </c>
      <c r="I7" s="4">
        <v>46450</v>
      </c>
      <c r="J7" s="4">
        <v>139350</v>
      </c>
      <c r="K7" s="4">
        <v>111480</v>
      </c>
      <c r="L7" s="4">
        <v>27870</v>
      </c>
      <c r="M7" t="s">
        <v>46</v>
      </c>
      <c r="N7" t="s">
        <v>47</v>
      </c>
      <c r="O7" s="4">
        <v>164471.94163198312</v>
      </c>
      <c r="P7" s="3">
        <v>0.84725697658391408</v>
      </c>
      <c r="Q7" s="5">
        <f t="shared" si="0"/>
        <v>-0.41480314960629922</v>
      </c>
    </row>
    <row r="8" spans="1:17" x14ac:dyDescent="0.3">
      <c r="A8" s="2">
        <v>45664</v>
      </c>
      <c r="B8" t="s">
        <v>42</v>
      </c>
      <c r="C8" t="s">
        <v>56</v>
      </c>
      <c r="D8" t="s">
        <v>57</v>
      </c>
      <c r="E8" t="s">
        <v>58</v>
      </c>
      <c r="F8" t="s">
        <v>41</v>
      </c>
      <c r="G8" t="s">
        <v>40</v>
      </c>
      <c r="H8" s="4">
        <v>4</v>
      </c>
      <c r="I8" s="4">
        <v>11800</v>
      </c>
      <c r="J8" s="4">
        <v>47200</v>
      </c>
      <c r="K8" s="4">
        <v>37760</v>
      </c>
      <c r="L8" s="4">
        <v>9440</v>
      </c>
      <c r="M8" t="s">
        <v>51</v>
      </c>
      <c r="N8" t="s">
        <v>52</v>
      </c>
      <c r="O8" s="4">
        <v>46624.713363196133</v>
      </c>
      <c r="P8" s="3">
        <v>1.0123386632390103</v>
      </c>
      <c r="Q8" s="5">
        <f t="shared" si="0"/>
        <v>-0.66128453534266241</v>
      </c>
    </row>
    <row r="9" spans="1:17" x14ac:dyDescent="0.3">
      <c r="A9" s="2">
        <v>45665</v>
      </c>
      <c r="B9" t="s">
        <v>42</v>
      </c>
      <c r="C9" t="s">
        <v>43</v>
      </c>
      <c r="D9" t="s">
        <v>59</v>
      </c>
      <c r="E9" t="s">
        <v>60</v>
      </c>
      <c r="F9" t="s">
        <v>35</v>
      </c>
      <c r="G9" t="s">
        <v>37</v>
      </c>
      <c r="H9" s="4">
        <v>12</v>
      </c>
      <c r="I9" s="4">
        <v>40414</v>
      </c>
      <c r="J9" s="4">
        <v>484968</v>
      </c>
      <c r="K9" s="4">
        <v>387974.40000000002</v>
      </c>
      <c r="L9" s="4">
        <v>96993.599999999977</v>
      </c>
      <c r="M9" t="s">
        <v>46</v>
      </c>
      <c r="N9" t="s">
        <v>47</v>
      </c>
      <c r="O9" s="4">
        <v>488579.70677565911</v>
      </c>
      <c r="P9" s="3">
        <v>0.9926077429627721</v>
      </c>
      <c r="Q9" s="5">
        <f t="shared" si="0"/>
        <v>9.2747457627118646</v>
      </c>
    </row>
    <row r="10" spans="1:17" x14ac:dyDescent="0.3">
      <c r="A10" s="2">
        <v>45666</v>
      </c>
      <c r="B10" t="s">
        <v>42</v>
      </c>
      <c r="C10" t="s">
        <v>48</v>
      </c>
      <c r="D10" t="s">
        <v>44</v>
      </c>
      <c r="E10" t="s">
        <v>45</v>
      </c>
      <c r="F10" t="s">
        <v>35</v>
      </c>
      <c r="G10" t="s">
        <v>34</v>
      </c>
      <c r="H10" s="4">
        <v>17</v>
      </c>
      <c r="I10" s="4">
        <v>21553</v>
      </c>
      <c r="J10" s="4">
        <v>366401</v>
      </c>
      <c r="K10" s="4">
        <v>293120.8</v>
      </c>
      <c r="L10" s="4">
        <v>73280.200000000012</v>
      </c>
      <c r="M10" t="s">
        <v>51</v>
      </c>
      <c r="N10" t="s">
        <v>52</v>
      </c>
      <c r="O10" s="4">
        <v>394832.90142705303</v>
      </c>
      <c r="P10" s="3">
        <v>0.92799004002885521</v>
      </c>
      <c r="Q10" s="5">
        <f t="shared" si="0"/>
        <v>-0.24448417215156465</v>
      </c>
    </row>
    <row r="11" spans="1:17" x14ac:dyDescent="0.3">
      <c r="A11" s="2">
        <v>45667</v>
      </c>
      <c r="B11" t="s">
        <v>42</v>
      </c>
      <c r="C11" t="s">
        <v>53</v>
      </c>
      <c r="D11" t="s">
        <v>49</v>
      </c>
      <c r="E11" t="s">
        <v>50</v>
      </c>
      <c r="F11" t="s">
        <v>35</v>
      </c>
      <c r="G11" t="s">
        <v>36</v>
      </c>
      <c r="H11" s="4">
        <v>15</v>
      </c>
      <c r="I11" s="4">
        <v>30141</v>
      </c>
      <c r="J11" s="4">
        <v>452115</v>
      </c>
      <c r="K11" s="4">
        <v>361692</v>
      </c>
      <c r="L11" s="4">
        <v>90423</v>
      </c>
      <c r="M11" t="s">
        <v>46</v>
      </c>
      <c r="N11" t="s">
        <v>47</v>
      </c>
      <c r="O11" s="4">
        <v>451142.04822463525</v>
      </c>
      <c r="P11" s="3">
        <v>1.0021566417477457</v>
      </c>
      <c r="Q11" s="5">
        <f t="shared" si="0"/>
        <v>0.23393495105089779</v>
      </c>
    </row>
    <row r="12" spans="1:17" x14ac:dyDescent="0.3">
      <c r="A12" s="2">
        <v>45668</v>
      </c>
      <c r="B12" t="s">
        <v>42</v>
      </c>
      <c r="C12" t="s">
        <v>56</v>
      </c>
      <c r="D12" t="s">
        <v>54</v>
      </c>
      <c r="E12" t="s">
        <v>55</v>
      </c>
      <c r="F12" t="s">
        <v>39</v>
      </c>
      <c r="G12" t="s">
        <v>38</v>
      </c>
      <c r="H12" s="4">
        <v>3</v>
      </c>
      <c r="I12" s="4">
        <v>16952</v>
      </c>
      <c r="J12" s="4">
        <v>50856</v>
      </c>
      <c r="K12" s="4">
        <v>40684.800000000003</v>
      </c>
      <c r="L12" s="4">
        <v>10171.199999999997</v>
      </c>
      <c r="M12" t="s">
        <v>51</v>
      </c>
      <c r="N12" t="s">
        <v>52</v>
      </c>
      <c r="O12" s="4">
        <v>64557.321497985635</v>
      </c>
      <c r="P12" s="3">
        <v>0.78776502525103753</v>
      </c>
      <c r="Q12" s="5">
        <f t="shared" si="0"/>
        <v>-0.88751534454729442</v>
      </c>
    </row>
    <row r="13" spans="1:17" x14ac:dyDescent="0.3">
      <c r="A13" s="2">
        <v>45669</v>
      </c>
      <c r="B13" t="s">
        <v>42</v>
      </c>
      <c r="C13" t="s">
        <v>43</v>
      </c>
      <c r="D13" t="s">
        <v>57</v>
      </c>
      <c r="E13" t="s">
        <v>58</v>
      </c>
      <c r="F13" t="s">
        <v>41</v>
      </c>
      <c r="G13" t="s">
        <v>40</v>
      </c>
      <c r="H13" s="4">
        <v>14</v>
      </c>
      <c r="I13" s="4">
        <v>22934</v>
      </c>
      <c r="J13" s="4">
        <v>321076</v>
      </c>
      <c r="K13" s="4">
        <v>256860.80000000002</v>
      </c>
      <c r="L13" s="4">
        <v>64215.199999999983</v>
      </c>
      <c r="M13" t="s">
        <v>46</v>
      </c>
      <c r="N13" t="s">
        <v>47</v>
      </c>
      <c r="O13" s="4">
        <v>319366.08311402338</v>
      </c>
      <c r="P13" s="3">
        <v>1.0053540966821017</v>
      </c>
      <c r="Q13" s="5">
        <f t="shared" si="0"/>
        <v>5.3134340097530286</v>
      </c>
    </row>
    <row r="14" spans="1:17" x14ac:dyDescent="0.3">
      <c r="A14" s="2">
        <v>45670</v>
      </c>
      <c r="B14" t="s">
        <v>42</v>
      </c>
      <c r="C14" t="s">
        <v>48</v>
      </c>
      <c r="D14" t="s">
        <v>59</v>
      </c>
      <c r="E14" t="s">
        <v>60</v>
      </c>
      <c r="F14" t="s">
        <v>35</v>
      </c>
      <c r="G14" t="s">
        <v>37</v>
      </c>
      <c r="H14" s="4">
        <v>10</v>
      </c>
      <c r="I14" s="4">
        <v>1158</v>
      </c>
      <c r="J14" s="4">
        <v>11580</v>
      </c>
      <c r="K14" s="4">
        <v>9264</v>
      </c>
      <c r="L14" s="4">
        <v>2316</v>
      </c>
      <c r="M14" t="s">
        <v>51</v>
      </c>
      <c r="N14" t="s">
        <v>52</v>
      </c>
      <c r="O14" s="4">
        <v>12510.473552343867</v>
      </c>
      <c r="P14" s="3">
        <v>0.92562443392324345</v>
      </c>
      <c r="Q14" s="5">
        <f t="shared" si="0"/>
        <v>-0.96393377268933211</v>
      </c>
    </row>
    <row r="15" spans="1:17" x14ac:dyDescent="0.3">
      <c r="A15" s="2">
        <v>45671</v>
      </c>
      <c r="B15" t="s">
        <v>42</v>
      </c>
      <c r="C15" t="s">
        <v>53</v>
      </c>
      <c r="D15" t="s">
        <v>44</v>
      </c>
      <c r="E15" t="s">
        <v>45</v>
      </c>
      <c r="F15" t="s">
        <v>35</v>
      </c>
      <c r="G15" t="s">
        <v>34</v>
      </c>
      <c r="H15" s="4">
        <v>4</v>
      </c>
      <c r="I15" s="4">
        <v>19249</v>
      </c>
      <c r="J15" s="4">
        <v>76996</v>
      </c>
      <c r="K15" s="4">
        <v>61596.800000000003</v>
      </c>
      <c r="L15" s="4">
        <v>15399.199999999997</v>
      </c>
      <c r="M15" t="s">
        <v>46</v>
      </c>
      <c r="N15" t="s">
        <v>47</v>
      </c>
      <c r="O15" s="4">
        <v>69668.321462077918</v>
      </c>
      <c r="P15" s="3">
        <v>1.1051794902495349</v>
      </c>
      <c r="Q15" s="5">
        <f t="shared" si="0"/>
        <v>5.6490500863557855</v>
      </c>
    </row>
    <row r="16" spans="1:17" x14ac:dyDescent="0.3">
      <c r="A16" s="2">
        <v>45672</v>
      </c>
      <c r="B16" t="s">
        <v>42</v>
      </c>
      <c r="C16" t="s">
        <v>56</v>
      </c>
      <c r="D16" t="s">
        <v>49</v>
      </c>
      <c r="E16" t="s">
        <v>50</v>
      </c>
      <c r="F16" t="s">
        <v>35</v>
      </c>
      <c r="G16" t="s">
        <v>36</v>
      </c>
      <c r="H16" s="4">
        <v>17</v>
      </c>
      <c r="I16" s="4">
        <v>28586</v>
      </c>
      <c r="J16" s="4">
        <v>485962</v>
      </c>
      <c r="K16" s="4">
        <v>388769.60000000003</v>
      </c>
      <c r="L16" s="4">
        <v>97192.399999999965</v>
      </c>
      <c r="M16" t="s">
        <v>51</v>
      </c>
      <c r="N16" t="s">
        <v>52</v>
      </c>
      <c r="O16" s="4">
        <v>469700.30849446455</v>
      </c>
      <c r="P16" s="3">
        <v>1.034621419682817</v>
      </c>
      <c r="Q16" s="5">
        <f t="shared" si="0"/>
        <v>5.3115226765026753</v>
      </c>
    </row>
    <row r="17" spans="1:17" x14ac:dyDescent="0.3">
      <c r="A17" s="2">
        <v>45673</v>
      </c>
      <c r="B17" t="s">
        <v>42</v>
      </c>
      <c r="C17" t="s">
        <v>43</v>
      </c>
      <c r="D17" t="s">
        <v>54</v>
      </c>
      <c r="E17" t="s">
        <v>55</v>
      </c>
      <c r="F17" t="s">
        <v>39</v>
      </c>
      <c r="G17" t="s">
        <v>38</v>
      </c>
      <c r="H17" s="4">
        <v>11</v>
      </c>
      <c r="I17" s="4">
        <v>28387</v>
      </c>
      <c r="J17" s="4">
        <v>312257</v>
      </c>
      <c r="K17" s="4">
        <v>249805.6</v>
      </c>
      <c r="L17" s="4">
        <v>62451.399999999994</v>
      </c>
      <c r="M17" t="s">
        <v>46</v>
      </c>
      <c r="N17" t="s">
        <v>47</v>
      </c>
      <c r="O17" s="4">
        <v>399168.53379869129</v>
      </c>
      <c r="P17" s="3">
        <v>0.78226857470052358</v>
      </c>
      <c r="Q17" s="5">
        <f t="shared" si="0"/>
        <v>-0.35744564389808259</v>
      </c>
    </row>
    <row r="18" spans="1:17" x14ac:dyDescent="0.3">
      <c r="A18" s="2">
        <v>45674</v>
      </c>
      <c r="B18" t="s">
        <v>42</v>
      </c>
      <c r="C18" t="s">
        <v>48</v>
      </c>
      <c r="D18" t="s">
        <v>57</v>
      </c>
      <c r="E18" t="s">
        <v>58</v>
      </c>
      <c r="F18" t="s">
        <v>41</v>
      </c>
      <c r="G18" t="s">
        <v>40</v>
      </c>
      <c r="H18" s="4">
        <v>3</v>
      </c>
      <c r="I18" s="4">
        <v>21023</v>
      </c>
      <c r="J18" s="4">
        <v>63069</v>
      </c>
      <c r="K18" s="4">
        <v>50455.200000000004</v>
      </c>
      <c r="L18" s="4">
        <v>12613.799999999996</v>
      </c>
      <c r="M18" t="s">
        <v>51</v>
      </c>
      <c r="N18" t="s">
        <v>52</v>
      </c>
      <c r="O18" s="4">
        <v>62641.171133458898</v>
      </c>
      <c r="P18" s="3">
        <v>1.0068298350557592</v>
      </c>
      <c r="Q18" s="5">
        <f t="shared" si="0"/>
        <v>-0.79802214201763289</v>
      </c>
    </row>
    <row r="19" spans="1:17" x14ac:dyDescent="0.3">
      <c r="A19" s="2">
        <v>45675</v>
      </c>
      <c r="B19" t="s">
        <v>42</v>
      </c>
      <c r="C19" t="s">
        <v>53</v>
      </c>
      <c r="D19" t="s">
        <v>59</v>
      </c>
      <c r="E19" t="s">
        <v>60</v>
      </c>
      <c r="F19" t="s">
        <v>35</v>
      </c>
      <c r="G19" t="s">
        <v>37</v>
      </c>
      <c r="H19" s="4">
        <v>13</v>
      </c>
      <c r="I19" s="4">
        <v>6565</v>
      </c>
      <c r="J19" s="4">
        <v>85345</v>
      </c>
      <c r="K19" s="4">
        <v>68276</v>
      </c>
      <c r="L19" s="4">
        <v>17069</v>
      </c>
      <c r="M19" t="s">
        <v>46</v>
      </c>
      <c r="N19" t="s">
        <v>47</v>
      </c>
      <c r="O19" s="4">
        <v>96762.850325160689</v>
      </c>
      <c r="P19" s="3">
        <v>0.88200171567091823</v>
      </c>
      <c r="Q19" s="5">
        <f t="shared" si="0"/>
        <v>0.3532004629849847</v>
      </c>
    </row>
    <row r="20" spans="1:17" x14ac:dyDescent="0.3">
      <c r="A20" s="2">
        <v>45676</v>
      </c>
      <c r="B20" t="s">
        <v>42</v>
      </c>
      <c r="C20" t="s">
        <v>56</v>
      </c>
      <c r="D20" t="s">
        <v>44</v>
      </c>
      <c r="E20" t="s">
        <v>45</v>
      </c>
      <c r="F20" t="s">
        <v>35</v>
      </c>
      <c r="G20" t="s">
        <v>34</v>
      </c>
      <c r="H20" s="4">
        <v>14</v>
      </c>
      <c r="I20" s="4">
        <v>19022</v>
      </c>
      <c r="J20" s="4">
        <v>266308</v>
      </c>
      <c r="K20" s="4">
        <v>213046.40000000002</v>
      </c>
      <c r="L20" s="4">
        <v>53261.599999999977</v>
      </c>
      <c r="M20" t="s">
        <v>51</v>
      </c>
      <c r="N20" t="s">
        <v>52</v>
      </c>
      <c r="O20" s="4">
        <v>245694.31054968794</v>
      </c>
      <c r="P20" s="3">
        <v>1.0838997427502224</v>
      </c>
      <c r="Q20" s="5">
        <f t="shared" si="0"/>
        <v>2.1203702618782589</v>
      </c>
    </row>
    <row r="21" spans="1:17" x14ac:dyDescent="0.3">
      <c r="A21" s="2">
        <v>45677</v>
      </c>
      <c r="B21" t="s">
        <v>42</v>
      </c>
      <c r="C21" t="s">
        <v>43</v>
      </c>
      <c r="D21" t="s">
        <v>49</v>
      </c>
      <c r="E21" t="s">
        <v>50</v>
      </c>
      <c r="F21" t="s">
        <v>35</v>
      </c>
      <c r="G21" t="s">
        <v>36</v>
      </c>
      <c r="H21" s="4">
        <v>19</v>
      </c>
      <c r="I21" s="4">
        <v>4317</v>
      </c>
      <c r="J21" s="4">
        <v>82023</v>
      </c>
      <c r="K21" s="4">
        <v>65618.400000000009</v>
      </c>
      <c r="L21" s="4">
        <v>16404.599999999991</v>
      </c>
      <c r="M21" t="s">
        <v>46</v>
      </c>
      <c r="N21" t="s">
        <v>47</v>
      </c>
      <c r="O21" s="4">
        <v>105843.25494904013</v>
      </c>
      <c r="P21" s="3">
        <v>0.77494782298117382</v>
      </c>
      <c r="Q21" s="5">
        <f t="shared" si="0"/>
        <v>-0.69199948931312616</v>
      </c>
    </row>
    <row r="22" spans="1:17" x14ac:dyDescent="0.3">
      <c r="A22" s="2">
        <v>45678</v>
      </c>
      <c r="B22" t="s">
        <v>42</v>
      </c>
      <c r="C22" t="s">
        <v>48</v>
      </c>
      <c r="D22" t="s">
        <v>54</v>
      </c>
      <c r="E22" t="s">
        <v>55</v>
      </c>
      <c r="F22" t="s">
        <v>39</v>
      </c>
      <c r="G22" t="s">
        <v>38</v>
      </c>
      <c r="H22" s="4">
        <v>11</v>
      </c>
      <c r="I22" s="4">
        <v>33316</v>
      </c>
      <c r="J22" s="4">
        <v>366476</v>
      </c>
      <c r="K22" s="4">
        <v>293180.79999999999</v>
      </c>
      <c r="L22" s="4">
        <v>73295.200000000012</v>
      </c>
      <c r="M22" t="s">
        <v>51</v>
      </c>
      <c r="N22" t="s">
        <v>52</v>
      </c>
      <c r="O22" s="4">
        <v>399165.301688576</v>
      </c>
      <c r="P22" s="3">
        <v>0.9181058535140918</v>
      </c>
      <c r="Q22" s="5">
        <f t="shared" si="0"/>
        <v>3.4679663021347671</v>
      </c>
    </row>
    <row r="23" spans="1:17" x14ac:dyDescent="0.3">
      <c r="A23" s="2">
        <v>45679</v>
      </c>
      <c r="B23" t="s">
        <v>42</v>
      </c>
      <c r="C23" t="s">
        <v>53</v>
      </c>
      <c r="D23" t="s">
        <v>57</v>
      </c>
      <c r="E23" t="s">
        <v>58</v>
      </c>
      <c r="F23" t="s">
        <v>41</v>
      </c>
      <c r="G23" t="s">
        <v>40</v>
      </c>
      <c r="H23" s="4">
        <v>7</v>
      </c>
      <c r="I23" s="4">
        <v>48287</v>
      </c>
      <c r="J23" s="4">
        <v>338009</v>
      </c>
      <c r="K23" s="4">
        <v>270407.2</v>
      </c>
      <c r="L23" s="4">
        <v>67601.799999999988</v>
      </c>
      <c r="M23" t="s">
        <v>46</v>
      </c>
      <c r="N23" t="s">
        <v>47</v>
      </c>
      <c r="O23" s="4">
        <v>335582.28726351017</v>
      </c>
      <c r="P23" s="3">
        <v>1.0072313492952156</v>
      </c>
      <c r="Q23" s="5">
        <f t="shared" si="0"/>
        <v>-7.7677665113131553E-2</v>
      </c>
    </row>
    <row r="24" spans="1:17" x14ac:dyDescent="0.3">
      <c r="A24" s="2">
        <v>45680</v>
      </c>
      <c r="B24" t="s">
        <v>42</v>
      </c>
      <c r="C24" t="s">
        <v>56</v>
      </c>
      <c r="D24" t="s">
        <v>59</v>
      </c>
      <c r="E24" t="s">
        <v>60</v>
      </c>
      <c r="F24" t="s">
        <v>35</v>
      </c>
      <c r="G24" t="s">
        <v>37</v>
      </c>
      <c r="H24" s="4">
        <v>12</v>
      </c>
      <c r="I24" s="4">
        <v>28677</v>
      </c>
      <c r="J24" s="4">
        <v>344124</v>
      </c>
      <c r="K24" s="4">
        <v>275299.20000000001</v>
      </c>
      <c r="L24" s="4">
        <v>68824.799999999988</v>
      </c>
      <c r="M24" t="s">
        <v>51</v>
      </c>
      <c r="N24" t="s">
        <v>52</v>
      </c>
      <c r="O24" s="4">
        <v>343872.51451680175</v>
      </c>
      <c r="P24" s="3">
        <v>1.0007313334813968</v>
      </c>
      <c r="Q24" s="5">
        <f t="shared" si="0"/>
        <v>1.8091234257075994E-2</v>
      </c>
    </row>
    <row r="25" spans="1:17" x14ac:dyDescent="0.3">
      <c r="A25" s="2">
        <v>45681</v>
      </c>
      <c r="B25" t="s">
        <v>42</v>
      </c>
      <c r="C25" t="s">
        <v>43</v>
      </c>
      <c r="D25" t="s">
        <v>44</v>
      </c>
      <c r="E25" t="s">
        <v>45</v>
      </c>
      <c r="F25" t="s">
        <v>35</v>
      </c>
      <c r="G25" t="s">
        <v>34</v>
      </c>
      <c r="H25" s="4">
        <v>1</v>
      </c>
      <c r="I25" s="4">
        <v>30818</v>
      </c>
      <c r="J25" s="4">
        <v>30818</v>
      </c>
      <c r="K25" s="4">
        <v>24654.400000000001</v>
      </c>
      <c r="L25" s="4">
        <v>6163.5999999999985</v>
      </c>
      <c r="M25" t="s">
        <v>46</v>
      </c>
      <c r="N25" t="s">
        <v>47</v>
      </c>
      <c r="O25" s="4">
        <v>32946.588327990597</v>
      </c>
      <c r="P25" s="3">
        <v>0.93539275427245971</v>
      </c>
      <c r="Q25" s="5">
        <f t="shared" si="0"/>
        <v>-0.91044507212516423</v>
      </c>
    </row>
    <row r="26" spans="1:17" x14ac:dyDescent="0.3">
      <c r="A26" s="2">
        <v>45682</v>
      </c>
      <c r="B26" t="s">
        <v>42</v>
      </c>
      <c r="C26" t="s">
        <v>48</v>
      </c>
      <c r="D26" t="s">
        <v>49</v>
      </c>
      <c r="E26" t="s">
        <v>50</v>
      </c>
      <c r="F26" t="s">
        <v>35</v>
      </c>
      <c r="G26" t="s">
        <v>36</v>
      </c>
      <c r="H26" s="4">
        <v>11</v>
      </c>
      <c r="I26" s="4">
        <v>25664</v>
      </c>
      <c r="J26" s="4">
        <v>282304</v>
      </c>
      <c r="K26" s="4">
        <v>225843.20000000001</v>
      </c>
      <c r="L26" s="4">
        <v>56460.799999999988</v>
      </c>
      <c r="M26" t="s">
        <v>51</v>
      </c>
      <c r="N26" t="s">
        <v>52</v>
      </c>
      <c r="O26" s="4">
        <v>362810.4717588441</v>
      </c>
      <c r="P26" s="3">
        <v>0.7781032301284958</v>
      </c>
      <c r="Q26" s="5">
        <f t="shared" si="0"/>
        <v>8.160360828087482</v>
      </c>
    </row>
    <row r="27" spans="1:17" x14ac:dyDescent="0.3">
      <c r="A27" s="2">
        <v>45683</v>
      </c>
      <c r="B27" t="s">
        <v>42</v>
      </c>
      <c r="C27" t="s">
        <v>53</v>
      </c>
      <c r="D27" t="s">
        <v>54</v>
      </c>
      <c r="E27" t="s">
        <v>55</v>
      </c>
      <c r="F27" t="s">
        <v>39</v>
      </c>
      <c r="G27" t="s">
        <v>38</v>
      </c>
      <c r="H27" s="4">
        <v>2</v>
      </c>
      <c r="I27" s="4">
        <v>36369</v>
      </c>
      <c r="J27" s="4">
        <v>72738</v>
      </c>
      <c r="K27" s="4">
        <v>58190.400000000001</v>
      </c>
      <c r="L27" s="4">
        <v>14547.599999999999</v>
      </c>
      <c r="M27" t="s">
        <v>46</v>
      </c>
      <c r="N27" t="s">
        <v>47</v>
      </c>
      <c r="O27" s="4">
        <v>69512.567394710117</v>
      </c>
      <c r="P27" s="3">
        <v>1.0464007117874823</v>
      </c>
      <c r="Q27" s="5">
        <f t="shared" si="0"/>
        <v>-0.74234158920879623</v>
      </c>
    </row>
    <row r="28" spans="1:17" x14ac:dyDescent="0.3">
      <c r="A28" s="2">
        <v>45684</v>
      </c>
      <c r="B28" t="s">
        <v>42</v>
      </c>
      <c r="C28" t="s">
        <v>56</v>
      </c>
      <c r="D28" t="s">
        <v>57</v>
      </c>
      <c r="E28" t="s">
        <v>58</v>
      </c>
      <c r="F28" t="s">
        <v>41</v>
      </c>
      <c r="G28" t="s">
        <v>40</v>
      </c>
      <c r="H28" s="4">
        <v>19</v>
      </c>
      <c r="I28" s="4">
        <v>14404</v>
      </c>
      <c r="J28" s="4">
        <v>273676</v>
      </c>
      <c r="K28" s="4">
        <v>218940.80000000002</v>
      </c>
      <c r="L28" s="4">
        <v>54735.199999999983</v>
      </c>
      <c r="M28" t="s">
        <v>51</v>
      </c>
      <c r="N28" t="s">
        <v>52</v>
      </c>
      <c r="O28" s="4">
        <v>253167.44615749817</v>
      </c>
      <c r="P28" s="3">
        <v>1.0810078631900535</v>
      </c>
      <c r="Q28" s="5">
        <f t="shared" si="0"/>
        <v>2.7624900327201738</v>
      </c>
    </row>
    <row r="29" spans="1:17" x14ac:dyDescent="0.3">
      <c r="A29" s="2">
        <v>45685</v>
      </c>
      <c r="B29" t="s">
        <v>42</v>
      </c>
      <c r="C29" t="s">
        <v>43</v>
      </c>
      <c r="D29" t="s">
        <v>59</v>
      </c>
      <c r="E29" t="s">
        <v>60</v>
      </c>
      <c r="F29" t="s">
        <v>35</v>
      </c>
      <c r="G29" t="s">
        <v>37</v>
      </c>
      <c r="H29" s="4">
        <v>12</v>
      </c>
      <c r="I29" s="4">
        <v>11388</v>
      </c>
      <c r="J29" s="4">
        <v>136656</v>
      </c>
      <c r="K29" s="4">
        <v>109324.8</v>
      </c>
      <c r="L29" s="4">
        <v>27331.199999999997</v>
      </c>
      <c r="M29" t="s">
        <v>46</v>
      </c>
      <c r="N29" t="s">
        <v>47</v>
      </c>
      <c r="O29" s="4">
        <v>133940.39671777838</v>
      </c>
      <c r="P29" s="3">
        <v>1.0202747143413617</v>
      </c>
      <c r="Q29" s="5">
        <f t="shared" si="0"/>
        <v>-0.50066501995059853</v>
      </c>
    </row>
    <row r="30" spans="1:17" x14ac:dyDescent="0.3">
      <c r="A30" s="2">
        <v>45686</v>
      </c>
      <c r="B30" t="s">
        <v>42</v>
      </c>
      <c r="C30" t="s">
        <v>48</v>
      </c>
      <c r="D30" t="s">
        <v>44</v>
      </c>
      <c r="E30" t="s">
        <v>45</v>
      </c>
      <c r="F30" t="s">
        <v>35</v>
      </c>
      <c r="G30" t="s">
        <v>34</v>
      </c>
      <c r="H30" s="4">
        <v>19</v>
      </c>
      <c r="I30" s="4">
        <v>9367</v>
      </c>
      <c r="J30" s="4">
        <v>177973</v>
      </c>
      <c r="K30" s="4">
        <v>142378.4</v>
      </c>
      <c r="L30" s="4">
        <v>35594.600000000006</v>
      </c>
      <c r="M30" t="s">
        <v>51</v>
      </c>
      <c r="N30" t="s">
        <v>52</v>
      </c>
      <c r="O30" s="4">
        <v>230125.49368825389</v>
      </c>
      <c r="P30" s="3">
        <v>0.77337368036718368</v>
      </c>
      <c r="Q30" s="5">
        <f t="shared" si="0"/>
        <v>0.30234310970612338</v>
      </c>
    </row>
    <row r="31" spans="1:17" x14ac:dyDescent="0.3">
      <c r="A31" s="2">
        <v>45687</v>
      </c>
      <c r="B31" t="s">
        <v>42</v>
      </c>
      <c r="C31" t="s">
        <v>53</v>
      </c>
      <c r="D31" t="s">
        <v>49</v>
      </c>
      <c r="E31" t="s">
        <v>50</v>
      </c>
      <c r="F31" t="s">
        <v>35</v>
      </c>
      <c r="G31" t="s">
        <v>36</v>
      </c>
      <c r="H31" s="4">
        <v>15</v>
      </c>
      <c r="I31" s="4">
        <v>19329</v>
      </c>
      <c r="J31" s="4">
        <v>289935</v>
      </c>
      <c r="K31" s="4">
        <v>231948</v>
      </c>
      <c r="L31" s="4">
        <v>57987</v>
      </c>
      <c r="M31" t="s">
        <v>46</v>
      </c>
      <c r="N31" t="s">
        <v>47</v>
      </c>
      <c r="O31" s="4">
        <v>321755.51118005218</v>
      </c>
      <c r="P31" s="3">
        <v>0.90110344632995065</v>
      </c>
      <c r="Q31" s="5">
        <f t="shared" si="0"/>
        <v>0.62909542458687551</v>
      </c>
    </row>
    <row r="32" spans="1:17" x14ac:dyDescent="0.3">
      <c r="A32" s="2">
        <v>45688</v>
      </c>
      <c r="B32" t="s">
        <v>42</v>
      </c>
      <c r="C32" t="s">
        <v>56</v>
      </c>
      <c r="D32" t="s">
        <v>54</v>
      </c>
      <c r="E32" t="s">
        <v>55</v>
      </c>
      <c r="F32" t="s">
        <v>39</v>
      </c>
      <c r="G32" t="s">
        <v>38</v>
      </c>
      <c r="H32" s="4">
        <v>11</v>
      </c>
      <c r="I32" s="4">
        <v>2444</v>
      </c>
      <c r="J32" s="4">
        <v>26884</v>
      </c>
      <c r="K32" s="4">
        <v>21507.200000000001</v>
      </c>
      <c r="L32" s="4">
        <v>5376.7999999999993</v>
      </c>
      <c r="M32" t="s">
        <v>51</v>
      </c>
      <c r="N32" t="s">
        <v>52</v>
      </c>
      <c r="O32" s="4">
        <v>26039.856101463774</v>
      </c>
      <c r="P32" s="3">
        <v>1.032417379544919</v>
      </c>
      <c r="Q32" s="5">
        <f t="shared" si="0"/>
        <v>-0.90727576870677906</v>
      </c>
    </row>
    <row r="33" spans="1:17" x14ac:dyDescent="0.3">
      <c r="A33" s="2">
        <v>45689</v>
      </c>
      <c r="B33" t="s">
        <v>42</v>
      </c>
      <c r="C33" t="s">
        <v>43</v>
      </c>
      <c r="D33" t="s">
        <v>57</v>
      </c>
      <c r="E33" t="s">
        <v>58</v>
      </c>
      <c r="F33" t="s">
        <v>41</v>
      </c>
      <c r="G33" t="s">
        <v>40</v>
      </c>
      <c r="H33" s="4">
        <v>7</v>
      </c>
      <c r="I33" s="4">
        <v>26445</v>
      </c>
      <c r="J33" s="4">
        <v>185115</v>
      </c>
      <c r="K33" s="4">
        <v>148092</v>
      </c>
      <c r="L33" s="4">
        <v>37023</v>
      </c>
      <c r="M33" t="s">
        <v>46</v>
      </c>
      <c r="N33" t="s">
        <v>47</v>
      </c>
      <c r="O33" s="4">
        <v>203577.70305822187</v>
      </c>
      <c r="P33" s="3">
        <v>0.90930881535223107</v>
      </c>
      <c r="Q33" s="5">
        <f t="shared" si="0"/>
        <v>5.8856940931409021</v>
      </c>
    </row>
    <row r="34" spans="1:17" x14ac:dyDescent="0.3">
      <c r="A34" s="2">
        <v>45690</v>
      </c>
      <c r="B34" t="s">
        <v>42</v>
      </c>
      <c r="C34" t="s">
        <v>48</v>
      </c>
      <c r="D34" t="s">
        <v>59</v>
      </c>
      <c r="E34" t="s">
        <v>60</v>
      </c>
      <c r="F34" t="s">
        <v>35</v>
      </c>
      <c r="G34" t="s">
        <v>37</v>
      </c>
      <c r="H34" s="4">
        <v>11</v>
      </c>
      <c r="I34" s="4">
        <v>13750</v>
      </c>
      <c r="J34" s="4">
        <v>151250</v>
      </c>
      <c r="K34" s="4">
        <v>121000</v>
      </c>
      <c r="L34" s="4">
        <v>30250</v>
      </c>
      <c r="M34" t="s">
        <v>51</v>
      </c>
      <c r="N34" t="s">
        <v>52</v>
      </c>
      <c r="O34" s="4">
        <v>185310.50529855961</v>
      </c>
      <c r="P34" s="3">
        <v>0.81619765569316394</v>
      </c>
      <c r="Q34" s="5">
        <f t="shared" si="0"/>
        <v>-0.18294033438673257</v>
      </c>
    </row>
    <row r="35" spans="1:17" x14ac:dyDescent="0.3">
      <c r="A35" s="2">
        <v>45691</v>
      </c>
      <c r="B35" t="s">
        <v>42</v>
      </c>
      <c r="C35" t="s">
        <v>53</v>
      </c>
      <c r="D35" t="s">
        <v>44</v>
      </c>
      <c r="E35" t="s">
        <v>45</v>
      </c>
      <c r="F35" t="s">
        <v>35</v>
      </c>
      <c r="G35" t="s">
        <v>34</v>
      </c>
      <c r="H35" s="4">
        <v>6</v>
      </c>
      <c r="I35" s="4">
        <v>13980</v>
      </c>
      <c r="J35" s="4">
        <v>83880</v>
      </c>
      <c r="K35" s="4">
        <v>67104</v>
      </c>
      <c r="L35" s="4">
        <v>16776</v>
      </c>
      <c r="M35" t="s">
        <v>46</v>
      </c>
      <c r="N35" t="s">
        <v>47</v>
      </c>
      <c r="O35" s="4">
        <v>86481.256624565096</v>
      </c>
      <c r="P35" s="3">
        <v>0.96992115140211543</v>
      </c>
      <c r="Q35" s="5">
        <f t="shared" si="0"/>
        <v>-0.4454214876033058</v>
      </c>
    </row>
    <row r="36" spans="1:17" x14ac:dyDescent="0.3">
      <c r="A36" s="2">
        <v>45692</v>
      </c>
      <c r="B36" t="s">
        <v>61</v>
      </c>
      <c r="C36" t="s">
        <v>56</v>
      </c>
      <c r="D36" t="s">
        <v>49</v>
      </c>
      <c r="E36" t="s">
        <v>50</v>
      </c>
      <c r="F36" t="s">
        <v>35</v>
      </c>
      <c r="G36" t="s">
        <v>36</v>
      </c>
      <c r="H36" s="4">
        <v>8</v>
      </c>
      <c r="I36" s="4">
        <v>46175</v>
      </c>
      <c r="J36" s="4">
        <v>369400</v>
      </c>
      <c r="K36" s="4">
        <v>295520</v>
      </c>
      <c r="L36" s="4">
        <v>73880</v>
      </c>
      <c r="M36" t="s">
        <v>51</v>
      </c>
      <c r="N36" t="s">
        <v>52</v>
      </c>
      <c r="O36" s="4">
        <v>458541.21221893869</v>
      </c>
      <c r="P36" s="3">
        <v>0.80559825410768826</v>
      </c>
      <c r="Q36" s="5">
        <f t="shared" si="0"/>
        <v>3.4039103481163568</v>
      </c>
    </row>
    <row r="37" spans="1:17" x14ac:dyDescent="0.3">
      <c r="A37" s="2">
        <v>45693</v>
      </c>
      <c r="B37" t="s">
        <v>61</v>
      </c>
      <c r="C37" t="s">
        <v>43</v>
      </c>
      <c r="D37" t="s">
        <v>54</v>
      </c>
      <c r="E37" t="s">
        <v>55</v>
      </c>
      <c r="F37" t="s">
        <v>39</v>
      </c>
      <c r="G37" t="s">
        <v>38</v>
      </c>
      <c r="H37" s="4">
        <v>5</v>
      </c>
      <c r="I37" s="4">
        <v>30283</v>
      </c>
      <c r="J37" s="4">
        <v>151415</v>
      </c>
      <c r="K37" s="4">
        <v>121132</v>
      </c>
      <c r="L37" s="4">
        <v>30283</v>
      </c>
      <c r="M37" t="s">
        <v>46</v>
      </c>
      <c r="N37" t="s">
        <v>47</v>
      </c>
      <c r="O37" s="4">
        <v>196275.23603149367</v>
      </c>
      <c r="P37" s="3">
        <v>0.77144220056219648</v>
      </c>
      <c r="Q37" s="5">
        <f t="shared" si="0"/>
        <v>-0.59010557661072005</v>
      </c>
    </row>
    <row r="38" spans="1:17" x14ac:dyDescent="0.3">
      <c r="A38" s="2">
        <v>45694</v>
      </c>
      <c r="B38" t="s">
        <v>61</v>
      </c>
      <c r="C38" t="s">
        <v>48</v>
      </c>
      <c r="D38" t="s">
        <v>57</v>
      </c>
      <c r="E38" t="s">
        <v>58</v>
      </c>
      <c r="F38" t="s">
        <v>41</v>
      </c>
      <c r="G38" t="s">
        <v>40</v>
      </c>
      <c r="H38" s="4">
        <v>5</v>
      </c>
      <c r="I38" s="4">
        <v>26711</v>
      </c>
      <c r="J38" s="4">
        <v>133555</v>
      </c>
      <c r="K38" s="4">
        <v>106844</v>
      </c>
      <c r="L38" s="4">
        <v>26711</v>
      </c>
      <c r="M38" t="s">
        <v>51</v>
      </c>
      <c r="N38" t="s">
        <v>52</v>
      </c>
      <c r="O38" s="4">
        <v>166300.29508248006</v>
      </c>
      <c r="P38" s="3">
        <v>0.80309538797727709</v>
      </c>
      <c r="Q38" s="5">
        <f t="shared" si="0"/>
        <v>-0.11795396757256546</v>
      </c>
    </row>
    <row r="39" spans="1:17" x14ac:dyDescent="0.3">
      <c r="A39" s="2">
        <v>45695</v>
      </c>
      <c r="B39" t="s">
        <v>61</v>
      </c>
      <c r="C39" t="s">
        <v>53</v>
      </c>
      <c r="D39" t="s">
        <v>59</v>
      </c>
      <c r="E39" t="s">
        <v>60</v>
      </c>
      <c r="F39" t="s">
        <v>35</v>
      </c>
      <c r="G39" t="s">
        <v>37</v>
      </c>
      <c r="H39" s="4">
        <v>17</v>
      </c>
      <c r="I39" s="4">
        <v>31867</v>
      </c>
      <c r="J39" s="4">
        <v>541739</v>
      </c>
      <c r="K39" s="4">
        <v>433391.2</v>
      </c>
      <c r="L39" s="4">
        <v>108347.79999999999</v>
      </c>
      <c r="M39" t="s">
        <v>46</v>
      </c>
      <c r="N39" t="s">
        <v>47</v>
      </c>
      <c r="O39" s="4">
        <v>563582.89632161264</v>
      </c>
      <c r="P39" s="3">
        <v>0.9612410233451314</v>
      </c>
      <c r="Q39" s="5">
        <f t="shared" si="0"/>
        <v>3.0562989030736403</v>
      </c>
    </row>
    <row r="40" spans="1:17" x14ac:dyDescent="0.3">
      <c r="A40" s="2">
        <v>45696</v>
      </c>
      <c r="B40" t="s">
        <v>61</v>
      </c>
      <c r="C40" t="s">
        <v>56</v>
      </c>
      <c r="D40" t="s">
        <v>44</v>
      </c>
      <c r="E40" t="s">
        <v>45</v>
      </c>
      <c r="F40" t="s">
        <v>35</v>
      </c>
      <c r="G40" t="s">
        <v>34</v>
      </c>
      <c r="H40" s="4">
        <v>18</v>
      </c>
      <c r="I40" s="4">
        <v>43337</v>
      </c>
      <c r="J40" s="4">
        <v>780066</v>
      </c>
      <c r="K40" s="4">
        <v>624052.80000000005</v>
      </c>
      <c r="L40" s="4">
        <v>156013.19999999995</v>
      </c>
      <c r="M40" t="s">
        <v>51</v>
      </c>
      <c r="N40" t="s">
        <v>52</v>
      </c>
      <c r="O40" s="4">
        <v>961935.71008486871</v>
      </c>
      <c r="P40" s="3">
        <v>0.81093361211340942</v>
      </c>
      <c r="Q40" s="5">
        <f t="shared" si="0"/>
        <v>0.43992956017565654</v>
      </c>
    </row>
    <row r="41" spans="1:17" x14ac:dyDescent="0.3">
      <c r="A41" s="2">
        <v>45697</v>
      </c>
      <c r="B41" t="s">
        <v>61</v>
      </c>
      <c r="C41" t="s">
        <v>43</v>
      </c>
      <c r="D41" t="s">
        <v>49</v>
      </c>
      <c r="E41" t="s">
        <v>50</v>
      </c>
      <c r="F41" t="s">
        <v>35</v>
      </c>
      <c r="G41" t="s">
        <v>36</v>
      </c>
      <c r="H41" s="4">
        <v>15</v>
      </c>
      <c r="I41" s="4">
        <v>8094</v>
      </c>
      <c r="J41" s="4">
        <v>121410</v>
      </c>
      <c r="K41" s="4">
        <v>97128</v>
      </c>
      <c r="L41" s="4">
        <v>24282</v>
      </c>
      <c r="M41" t="s">
        <v>46</v>
      </c>
      <c r="N41" t="s">
        <v>47</v>
      </c>
      <c r="O41" s="4">
        <v>117007.48955896527</v>
      </c>
      <c r="P41" s="3">
        <v>1.0376258858097807</v>
      </c>
      <c r="Q41" s="5">
        <f t="shared" si="0"/>
        <v>-0.8443593234418626</v>
      </c>
    </row>
    <row r="42" spans="1:17" x14ac:dyDescent="0.3">
      <c r="A42" s="2">
        <v>45698</v>
      </c>
      <c r="B42" t="s">
        <v>61</v>
      </c>
      <c r="C42" t="s">
        <v>48</v>
      </c>
      <c r="D42" t="s">
        <v>54</v>
      </c>
      <c r="E42" t="s">
        <v>55</v>
      </c>
      <c r="F42" t="s">
        <v>39</v>
      </c>
      <c r="G42" t="s">
        <v>38</v>
      </c>
      <c r="H42" s="4">
        <v>8</v>
      </c>
      <c r="I42" s="4">
        <v>34763</v>
      </c>
      <c r="J42" s="4">
        <v>278104</v>
      </c>
      <c r="K42" s="4">
        <v>222483.20000000001</v>
      </c>
      <c r="L42" s="4">
        <v>55620.799999999988</v>
      </c>
      <c r="M42" t="s">
        <v>51</v>
      </c>
      <c r="N42" t="s">
        <v>52</v>
      </c>
      <c r="O42" s="4">
        <v>290370.38419576874</v>
      </c>
      <c r="P42" s="3">
        <v>0.95775607684735953</v>
      </c>
      <c r="Q42" s="5">
        <f t="shared" si="0"/>
        <v>1.2906185651923234</v>
      </c>
    </row>
    <row r="43" spans="1:17" x14ac:dyDescent="0.3">
      <c r="A43" s="2">
        <v>45699</v>
      </c>
      <c r="B43" t="s">
        <v>61</v>
      </c>
      <c r="C43" t="s">
        <v>53</v>
      </c>
      <c r="D43" t="s">
        <v>57</v>
      </c>
      <c r="E43" t="s">
        <v>58</v>
      </c>
      <c r="F43" t="s">
        <v>41</v>
      </c>
      <c r="G43" t="s">
        <v>40</v>
      </c>
      <c r="H43" s="4">
        <v>14</v>
      </c>
      <c r="I43" s="4">
        <v>8150</v>
      </c>
      <c r="J43" s="4">
        <v>114100</v>
      </c>
      <c r="K43" s="4">
        <v>91280</v>
      </c>
      <c r="L43" s="4">
        <v>22820</v>
      </c>
      <c r="M43" t="s">
        <v>46</v>
      </c>
      <c r="N43" t="s">
        <v>47</v>
      </c>
      <c r="O43" s="4">
        <v>137455.06110686727</v>
      </c>
      <c r="P43" s="3">
        <v>0.83008947856267434</v>
      </c>
      <c r="Q43" s="5">
        <f t="shared" si="0"/>
        <v>-0.58972183068204698</v>
      </c>
    </row>
    <row r="44" spans="1:17" x14ac:dyDescent="0.3">
      <c r="A44" s="2">
        <v>45700</v>
      </c>
      <c r="B44" t="s">
        <v>61</v>
      </c>
      <c r="C44" t="s">
        <v>56</v>
      </c>
      <c r="D44" t="s">
        <v>59</v>
      </c>
      <c r="E44" t="s">
        <v>60</v>
      </c>
      <c r="F44" t="s">
        <v>35</v>
      </c>
      <c r="G44" t="s">
        <v>37</v>
      </c>
      <c r="H44" s="4">
        <v>20</v>
      </c>
      <c r="I44" s="4">
        <v>23494</v>
      </c>
      <c r="J44" s="4">
        <v>469880</v>
      </c>
      <c r="K44" s="4">
        <v>375904</v>
      </c>
      <c r="L44" s="4">
        <v>93976</v>
      </c>
      <c r="M44" t="s">
        <v>51</v>
      </c>
      <c r="N44" t="s">
        <v>52</v>
      </c>
      <c r="O44" s="4">
        <v>521779.45010241441</v>
      </c>
      <c r="P44" s="3">
        <v>0.90053374065953029</v>
      </c>
      <c r="Q44" s="5">
        <f t="shared" si="0"/>
        <v>3.1181419807186677</v>
      </c>
    </row>
    <row r="45" spans="1:17" x14ac:dyDescent="0.3">
      <c r="A45" s="2">
        <v>45701</v>
      </c>
      <c r="B45" t="s">
        <v>61</v>
      </c>
      <c r="C45" t="s">
        <v>43</v>
      </c>
      <c r="D45" t="s">
        <v>44</v>
      </c>
      <c r="E45" t="s">
        <v>45</v>
      </c>
      <c r="F45" t="s">
        <v>35</v>
      </c>
      <c r="G45" t="s">
        <v>34</v>
      </c>
      <c r="H45" s="4">
        <v>20</v>
      </c>
      <c r="I45" s="4">
        <v>16396</v>
      </c>
      <c r="J45" s="4">
        <v>327920</v>
      </c>
      <c r="K45" s="4">
        <v>262336</v>
      </c>
      <c r="L45" s="4">
        <v>65584</v>
      </c>
      <c r="M45" t="s">
        <v>46</v>
      </c>
      <c r="N45" t="s">
        <v>47</v>
      </c>
      <c r="O45" s="4">
        <v>422949.23613262502</v>
      </c>
      <c r="P45" s="3">
        <v>0.77531763149271526</v>
      </c>
      <c r="Q45" s="5">
        <f t="shared" si="0"/>
        <v>-0.30211969013365114</v>
      </c>
    </row>
    <row r="46" spans="1:17" x14ac:dyDescent="0.3">
      <c r="A46" s="2">
        <v>45702</v>
      </c>
      <c r="B46" t="s">
        <v>61</v>
      </c>
      <c r="C46" t="s">
        <v>48</v>
      </c>
      <c r="D46" t="s">
        <v>49</v>
      </c>
      <c r="E46" t="s">
        <v>50</v>
      </c>
      <c r="F46" t="s">
        <v>35</v>
      </c>
      <c r="G46" t="s">
        <v>36</v>
      </c>
      <c r="H46" s="4">
        <v>3</v>
      </c>
      <c r="I46" s="4">
        <v>5710</v>
      </c>
      <c r="J46" s="4">
        <v>17130</v>
      </c>
      <c r="K46" s="4">
        <v>13704</v>
      </c>
      <c r="L46" s="4">
        <v>3426</v>
      </c>
      <c r="M46" t="s">
        <v>51</v>
      </c>
      <c r="N46" t="s">
        <v>52</v>
      </c>
      <c r="O46" s="4">
        <v>22200.611264380728</v>
      </c>
      <c r="P46" s="3">
        <v>0.77160037604387244</v>
      </c>
      <c r="Q46" s="5">
        <f t="shared" si="0"/>
        <v>-0.94776164918272754</v>
      </c>
    </row>
    <row r="47" spans="1:17" x14ac:dyDescent="0.3">
      <c r="A47" s="2">
        <v>45703</v>
      </c>
      <c r="B47" t="s">
        <v>61</v>
      </c>
      <c r="C47" t="s">
        <v>53</v>
      </c>
      <c r="D47" t="s">
        <v>54</v>
      </c>
      <c r="E47" t="s">
        <v>55</v>
      </c>
      <c r="F47" t="s">
        <v>39</v>
      </c>
      <c r="G47" t="s">
        <v>38</v>
      </c>
      <c r="H47" s="4">
        <v>6</v>
      </c>
      <c r="I47" s="4">
        <v>25942</v>
      </c>
      <c r="J47" s="4">
        <v>155652</v>
      </c>
      <c r="K47" s="4">
        <v>124521.60000000001</v>
      </c>
      <c r="L47" s="4">
        <v>31130.399999999994</v>
      </c>
      <c r="M47" t="s">
        <v>46</v>
      </c>
      <c r="N47" t="s">
        <v>47</v>
      </c>
      <c r="O47" s="4">
        <v>197300.0326857114</v>
      </c>
      <c r="P47" s="3">
        <v>0.78891015820532306</v>
      </c>
      <c r="Q47" s="5">
        <f t="shared" si="0"/>
        <v>8.0865148861646237</v>
      </c>
    </row>
    <row r="48" spans="1:17" x14ac:dyDescent="0.3">
      <c r="A48" s="2">
        <v>45704</v>
      </c>
      <c r="B48" t="s">
        <v>61</v>
      </c>
      <c r="C48" t="s">
        <v>56</v>
      </c>
      <c r="D48" t="s">
        <v>57</v>
      </c>
      <c r="E48" t="s">
        <v>58</v>
      </c>
      <c r="F48" t="s">
        <v>41</v>
      </c>
      <c r="G48" t="s">
        <v>40</v>
      </c>
      <c r="H48" s="4">
        <v>12</v>
      </c>
      <c r="I48" s="4">
        <v>25808</v>
      </c>
      <c r="J48" s="4">
        <v>309696</v>
      </c>
      <c r="K48" s="4">
        <v>247756.80000000002</v>
      </c>
      <c r="L48" s="4">
        <v>61939.199999999983</v>
      </c>
      <c r="M48" t="s">
        <v>51</v>
      </c>
      <c r="N48" t="s">
        <v>52</v>
      </c>
      <c r="O48" s="4">
        <v>380218.31804204162</v>
      </c>
      <c r="P48" s="3">
        <v>0.81452151383657478</v>
      </c>
      <c r="Q48" s="5">
        <f t="shared" si="0"/>
        <v>0.98966926220029294</v>
      </c>
    </row>
    <row r="49" spans="1:17" x14ac:dyDescent="0.3">
      <c r="A49" s="2">
        <v>45705</v>
      </c>
      <c r="B49" t="s">
        <v>61</v>
      </c>
      <c r="C49" t="s">
        <v>43</v>
      </c>
      <c r="D49" t="s">
        <v>59</v>
      </c>
      <c r="E49" t="s">
        <v>60</v>
      </c>
      <c r="F49" t="s">
        <v>35</v>
      </c>
      <c r="G49" t="s">
        <v>37</v>
      </c>
      <c r="H49" s="4">
        <v>12</v>
      </c>
      <c r="I49" s="4">
        <v>41190</v>
      </c>
      <c r="J49" s="4">
        <v>494280</v>
      </c>
      <c r="K49" s="4">
        <v>395424</v>
      </c>
      <c r="L49" s="4">
        <v>98856</v>
      </c>
      <c r="M49" t="s">
        <v>46</v>
      </c>
      <c r="N49" t="s">
        <v>47</v>
      </c>
      <c r="O49" s="4">
        <v>500542.11431087466</v>
      </c>
      <c r="P49" s="3">
        <v>0.9874893357984551</v>
      </c>
      <c r="Q49" s="5">
        <f t="shared" si="0"/>
        <v>0.59601673899566021</v>
      </c>
    </row>
    <row r="50" spans="1:17" x14ac:dyDescent="0.3">
      <c r="A50" s="2">
        <v>45706</v>
      </c>
      <c r="B50" t="s">
        <v>61</v>
      </c>
      <c r="C50" t="s">
        <v>48</v>
      </c>
      <c r="D50" t="s">
        <v>44</v>
      </c>
      <c r="E50" t="s">
        <v>45</v>
      </c>
      <c r="F50" t="s">
        <v>35</v>
      </c>
      <c r="G50" t="s">
        <v>34</v>
      </c>
      <c r="H50" s="4">
        <v>15</v>
      </c>
      <c r="I50" s="4">
        <v>5123</v>
      </c>
      <c r="J50" s="4">
        <v>76845</v>
      </c>
      <c r="K50" s="4">
        <v>61476</v>
      </c>
      <c r="L50" s="4">
        <v>15369</v>
      </c>
      <c r="M50" t="s">
        <v>51</v>
      </c>
      <c r="N50" t="s">
        <v>52</v>
      </c>
      <c r="O50" s="4">
        <v>86980.20519145827</v>
      </c>
      <c r="P50" s="3">
        <v>0.88347687650139528</v>
      </c>
      <c r="Q50" s="5">
        <f t="shared" si="0"/>
        <v>-0.8445314396698228</v>
      </c>
    </row>
    <row r="51" spans="1:17" x14ac:dyDescent="0.3">
      <c r="A51" s="2">
        <v>45707</v>
      </c>
      <c r="B51" t="s">
        <v>61</v>
      </c>
      <c r="C51" t="s">
        <v>53</v>
      </c>
      <c r="D51" t="s">
        <v>49</v>
      </c>
      <c r="E51" t="s">
        <v>50</v>
      </c>
      <c r="F51" t="s">
        <v>35</v>
      </c>
      <c r="G51" t="s">
        <v>36</v>
      </c>
      <c r="H51" s="4">
        <v>9</v>
      </c>
      <c r="I51" s="4">
        <v>8958</v>
      </c>
      <c r="J51" s="4">
        <v>80622</v>
      </c>
      <c r="K51" s="4">
        <v>64497.600000000006</v>
      </c>
      <c r="L51" s="4">
        <v>16124.399999999994</v>
      </c>
      <c r="M51" t="s">
        <v>46</v>
      </c>
      <c r="N51" t="s">
        <v>47</v>
      </c>
      <c r="O51" s="4">
        <v>84318.924051232563</v>
      </c>
      <c r="P51" s="3">
        <v>0.9561554645907685</v>
      </c>
      <c r="Q51" s="5">
        <f t="shared" si="0"/>
        <v>4.9150888151473747E-2</v>
      </c>
    </row>
    <row r="52" spans="1:17" x14ac:dyDescent="0.3">
      <c r="A52" s="2">
        <v>45708</v>
      </c>
      <c r="B52" t="s">
        <v>61</v>
      </c>
      <c r="C52" t="s">
        <v>56</v>
      </c>
      <c r="D52" t="s">
        <v>54</v>
      </c>
      <c r="E52" t="s">
        <v>55</v>
      </c>
      <c r="F52" t="s">
        <v>39</v>
      </c>
      <c r="G52" t="s">
        <v>38</v>
      </c>
      <c r="H52" s="4">
        <v>1</v>
      </c>
      <c r="I52" s="4">
        <v>38522</v>
      </c>
      <c r="J52" s="4">
        <v>38522</v>
      </c>
      <c r="K52" s="4">
        <v>30817.600000000002</v>
      </c>
      <c r="L52" s="4">
        <v>7704.3999999999978</v>
      </c>
      <c r="M52" t="s">
        <v>51</v>
      </c>
      <c r="N52" t="s">
        <v>52</v>
      </c>
      <c r="O52" s="4">
        <v>44281.050039224181</v>
      </c>
      <c r="P52" s="3">
        <v>0.8699432367994252</v>
      </c>
      <c r="Q52" s="5">
        <f t="shared" si="0"/>
        <v>-0.52218997296023417</v>
      </c>
    </row>
    <row r="53" spans="1:17" x14ac:dyDescent="0.3">
      <c r="A53" s="2">
        <v>45709</v>
      </c>
      <c r="B53" t="s">
        <v>61</v>
      </c>
      <c r="C53" t="s">
        <v>43</v>
      </c>
      <c r="D53" t="s">
        <v>57</v>
      </c>
      <c r="E53" t="s">
        <v>58</v>
      </c>
      <c r="F53" t="s">
        <v>41</v>
      </c>
      <c r="G53" t="s">
        <v>40</v>
      </c>
      <c r="H53" s="4">
        <v>4</v>
      </c>
      <c r="I53" s="4">
        <v>2445</v>
      </c>
      <c r="J53" s="4">
        <v>9780</v>
      </c>
      <c r="K53" s="4">
        <v>7824</v>
      </c>
      <c r="L53" s="4">
        <v>1956</v>
      </c>
      <c r="M53" t="s">
        <v>46</v>
      </c>
      <c r="N53" t="s">
        <v>47</v>
      </c>
      <c r="O53" s="4">
        <v>10182.598876356173</v>
      </c>
      <c r="P53" s="3">
        <v>0.96046207051413945</v>
      </c>
      <c r="Q53" s="5">
        <f t="shared" si="0"/>
        <v>-0.7461191007735839</v>
      </c>
    </row>
    <row r="54" spans="1:17" x14ac:dyDescent="0.3">
      <c r="A54" s="2">
        <v>45710</v>
      </c>
      <c r="B54" t="s">
        <v>61</v>
      </c>
      <c r="C54" t="s">
        <v>48</v>
      </c>
      <c r="D54" t="s">
        <v>59</v>
      </c>
      <c r="E54" t="s">
        <v>60</v>
      </c>
      <c r="F54" t="s">
        <v>35</v>
      </c>
      <c r="G54" t="s">
        <v>37</v>
      </c>
      <c r="H54" s="4">
        <v>13</v>
      </c>
      <c r="I54" s="4">
        <v>48362</v>
      </c>
      <c r="J54" s="4">
        <v>628706</v>
      </c>
      <c r="K54" s="4">
        <v>502964.80000000005</v>
      </c>
      <c r="L54" s="4">
        <v>125741.19999999995</v>
      </c>
      <c r="M54" t="s">
        <v>51</v>
      </c>
      <c r="N54" t="s">
        <v>52</v>
      </c>
      <c r="O54" s="4">
        <v>675016.98697879899</v>
      </c>
      <c r="P54" s="3">
        <v>0.9313928569619041</v>
      </c>
      <c r="Q54" s="5">
        <f t="shared" si="0"/>
        <v>63.284867075664621</v>
      </c>
    </row>
    <row r="55" spans="1:17" x14ac:dyDescent="0.3">
      <c r="A55" s="2">
        <v>45711</v>
      </c>
      <c r="B55" t="s">
        <v>61</v>
      </c>
      <c r="C55" t="s">
        <v>53</v>
      </c>
      <c r="D55" t="s">
        <v>44</v>
      </c>
      <c r="E55" t="s">
        <v>45</v>
      </c>
      <c r="F55" t="s">
        <v>35</v>
      </c>
      <c r="G55" t="s">
        <v>34</v>
      </c>
      <c r="H55" s="4">
        <v>8</v>
      </c>
      <c r="I55" s="4">
        <v>11746</v>
      </c>
      <c r="J55" s="4">
        <v>93968</v>
      </c>
      <c r="K55" s="4">
        <v>75174.400000000009</v>
      </c>
      <c r="L55" s="4">
        <v>18793.599999999991</v>
      </c>
      <c r="M55" t="s">
        <v>46</v>
      </c>
      <c r="N55" t="s">
        <v>47</v>
      </c>
      <c r="O55" s="4">
        <v>95907.886451336686</v>
      </c>
      <c r="P55" s="3">
        <v>0.97977344175631498</v>
      </c>
      <c r="Q55" s="5">
        <f t="shared" si="0"/>
        <v>-0.85053745311799156</v>
      </c>
    </row>
    <row r="56" spans="1:17" x14ac:dyDescent="0.3">
      <c r="A56" s="2">
        <v>45712</v>
      </c>
      <c r="B56" t="s">
        <v>61</v>
      </c>
      <c r="C56" t="s">
        <v>56</v>
      </c>
      <c r="D56" t="s">
        <v>49</v>
      </c>
      <c r="E56" t="s">
        <v>50</v>
      </c>
      <c r="F56" t="s">
        <v>35</v>
      </c>
      <c r="G56" t="s">
        <v>36</v>
      </c>
      <c r="H56" s="4">
        <v>11</v>
      </c>
      <c r="I56" s="4">
        <v>4761</v>
      </c>
      <c r="J56" s="4">
        <v>52371</v>
      </c>
      <c r="K56" s="4">
        <v>41896.800000000003</v>
      </c>
      <c r="L56" s="4">
        <v>10474.199999999997</v>
      </c>
      <c r="M56" t="s">
        <v>51</v>
      </c>
      <c r="N56" t="s">
        <v>52</v>
      </c>
      <c r="O56" s="4">
        <v>60332.72829547718</v>
      </c>
      <c r="P56" s="3">
        <v>0.86803632919623774</v>
      </c>
      <c r="Q56" s="5">
        <f t="shared" si="0"/>
        <v>-0.44267197343776604</v>
      </c>
    </row>
    <row r="57" spans="1:17" x14ac:dyDescent="0.3">
      <c r="A57" s="2">
        <v>45713</v>
      </c>
      <c r="B57" t="s">
        <v>61</v>
      </c>
      <c r="C57" t="s">
        <v>43</v>
      </c>
      <c r="D57" t="s">
        <v>54</v>
      </c>
      <c r="E57" t="s">
        <v>55</v>
      </c>
      <c r="F57" t="s">
        <v>39</v>
      </c>
      <c r="G57" t="s">
        <v>38</v>
      </c>
      <c r="H57" s="4">
        <v>9</v>
      </c>
      <c r="I57" s="4">
        <v>26664</v>
      </c>
      <c r="J57" s="4">
        <v>239976</v>
      </c>
      <c r="K57" s="4">
        <v>191980.80000000002</v>
      </c>
      <c r="L57" s="4">
        <v>47995.199999999983</v>
      </c>
      <c r="M57" t="s">
        <v>46</v>
      </c>
      <c r="N57" t="s">
        <v>47</v>
      </c>
      <c r="O57" s="4">
        <v>303412.17002120445</v>
      </c>
      <c r="P57" s="3">
        <v>0.79092410822950476</v>
      </c>
      <c r="Q57" s="5">
        <f t="shared" si="0"/>
        <v>3.5822306238185253</v>
      </c>
    </row>
    <row r="58" spans="1:17" x14ac:dyDescent="0.3">
      <c r="A58" s="2">
        <v>45714</v>
      </c>
      <c r="B58" t="s">
        <v>61</v>
      </c>
      <c r="C58" t="s">
        <v>48</v>
      </c>
      <c r="D58" t="s">
        <v>57</v>
      </c>
      <c r="E58" t="s">
        <v>58</v>
      </c>
      <c r="F58" t="s">
        <v>41</v>
      </c>
      <c r="G58" t="s">
        <v>40</v>
      </c>
      <c r="H58" s="4">
        <v>4</v>
      </c>
      <c r="I58" s="4">
        <v>20634</v>
      </c>
      <c r="J58" s="4">
        <v>82536</v>
      </c>
      <c r="K58" s="4">
        <v>66028.800000000003</v>
      </c>
      <c r="L58" s="4">
        <v>16507.199999999997</v>
      </c>
      <c r="M58" t="s">
        <v>51</v>
      </c>
      <c r="N58" t="s">
        <v>52</v>
      </c>
      <c r="O58" s="4">
        <v>92405.098383543445</v>
      </c>
      <c r="P58" s="3">
        <v>0.89319746901215302</v>
      </c>
      <c r="Q58" s="5">
        <f t="shared" si="0"/>
        <v>-0.65606560656065604</v>
      </c>
    </row>
    <row r="59" spans="1:17" x14ac:dyDescent="0.3">
      <c r="A59" s="2">
        <v>45715</v>
      </c>
      <c r="B59" t="s">
        <v>61</v>
      </c>
      <c r="C59" t="s">
        <v>53</v>
      </c>
      <c r="D59" t="s">
        <v>59</v>
      </c>
      <c r="E59" t="s">
        <v>60</v>
      </c>
      <c r="F59" t="s">
        <v>35</v>
      </c>
      <c r="G59" t="s">
        <v>37</v>
      </c>
      <c r="H59" s="4">
        <v>20</v>
      </c>
      <c r="I59" s="4">
        <v>4653</v>
      </c>
      <c r="J59" s="4">
        <v>93060</v>
      </c>
      <c r="K59" s="4">
        <v>74448</v>
      </c>
      <c r="L59" s="4">
        <v>18612</v>
      </c>
      <c r="M59" t="s">
        <v>46</v>
      </c>
      <c r="N59" t="s">
        <v>47</v>
      </c>
      <c r="O59" s="4">
        <v>111259.87624711104</v>
      </c>
      <c r="P59" s="3">
        <v>0.83642012861232518</v>
      </c>
      <c r="Q59" s="5">
        <f t="shared" si="0"/>
        <v>0.12750799651061356</v>
      </c>
    </row>
    <row r="60" spans="1:17" x14ac:dyDescent="0.3">
      <c r="A60" s="2">
        <v>45716</v>
      </c>
      <c r="B60" t="s">
        <v>61</v>
      </c>
      <c r="C60" t="s">
        <v>56</v>
      </c>
      <c r="D60" t="s">
        <v>44</v>
      </c>
      <c r="E60" t="s">
        <v>45</v>
      </c>
      <c r="F60" t="s">
        <v>35</v>
      </c>
      <c r="G60" t="s">
        <v>34</v>
      </c>
      <c r="H60" s="4">
        <v>14</v>
      </c>
      <c r="I60" s="4">
        <v>5606</v>
      </c>
      <c r="J60" s="4">
        <v>78484</v>
      </c>
      <c r="K60" s="4">
        <v>62787.200000000004</v>
      </c>
      <c r="L60" s="4">
        <v>15696.799999999996</v>
      </c>
      <c r="M60" t="s">
        <v>51</v>
      </c>
      <c r="N60" t="s">
        <v>52</v>
      </c>
      <c r="O60" s="4">
        <v>83901.697133166308</v>
      </c>
      <c r="P60" s="3">
        <v>0.93542803878487113</v>
      </c>
      <c r="Q60" s="5">
        <f t="shared" si="0"/>
        <v>-0.15663013109821619</v>
      </c>
    </row>
    <row r="61" spans="1:17" x14ac:dyDescent="0.3">
      <c r="A61" s="2">
        <v>45717</v>
      </c>
      <c r="B61" t="s">
        <v>61</v>
      </c>
      <c r="C61" t="s">
        <v>43</v>
      </c>
      <c r="D61" t="s">
        <v>49</v>
      </c>
      <c r="E61" t="s">
        <v>50</v>
      </c>
      <c r="F61" t="s">
        <v>35</v>
      </c>
      <c r="G61" t="s">
        <v>36</v>
      </c>
      <c r="H61" s="4">
        <v>19</v>
      </c>
      <c r="I61" s="4">
        <v>1334</v>
      </c>
      <c r="J61" s="4">
        <v>25346</v>
      </c>
      <c r="K61" s="4">
        <v>20276.800000000003</v>
      </c>
      <c r="L61" s="4">
        <v>5069.1999999999971</v>
      </c>
      <c r="M61" t="s">
        <v>46</v>
      </c>
      <c r="N61" t="s">
        <v>47</v>
      </c>
      <c r="O61" s="4">
        <v>30372.323874611138</v>
      </c>
      <c r="P61" s="3">
        <v>0.83450973671419504</v>
      </c>
      <c r="Q61" s="5">
        <f t="shared" si="0"/>
        <v>-0.67705519596350849</v>
      </c>
    </row>
    <row r="62" spans="1:17" x14ac:dyDescent="0.3">
      <c r="A62" s="2">
        <v>45718</v>
      </c>
      <c r="B62" t="s">
        <v>61</v>
      </c>
      <c r="C62" t="s">
        <v>48</v>
      </c>
      <c r="D62" t="s">
        <v>54</v>
      </c>
      <c r="E62" t="s">
        <v>55</v>
      </c>
      <c r="F62" t="s">
        <v>39</v>
      </c>
      <c r="G62" t="s">
        <v>38</v>
      </c>
      <c r="H62" s="4">
        <v>17</v>
      </c>
      <c r="I62" s="4">
        <v>16674</v>
      </c>
      <c r="J62" s="4">
        <v>283458</v>
      </c>
      <c r="K62" s="4">
        <v>226766.40000000002</v>
      </c>
      <c r="L62" s="4">
        <v>56691.599999999977</v>
      </c>
      <c r="M62" t="s">
        <v>51</v>
      </c>
      <c r="N62" t="s">
        <v>52</v>
      </c>
      <c r="O62" s="4">
        <v>314775.65262699907</v>
      </c>
      <c r="P62" s="3">
        <v>0.90050802098055005</v>
      </c>
      <c r="Q62" s="5">
        <f t="shared" si="0"/>
        <v>10.183539809042847</v>
      </c>
    </row>
    <row r="63" spans="1:17" x14ac:dyDescent="0.3">
      <c r="A63" s="2">
        <v>45719</v>
      </c>
      <c r="B63" t="s">
        <v>61</v>
      </c>
      <c r="C63" t="s">
        <v>53</v>
      </c>
      <c r="D63" t="s">
        <v>57</v>
      </c>
      <c r="E63" t="s">
        <v>58</v>
      </c>
      <c r="F63" t="s">
        <v>41</v>
      </c>
      <c r="G63" t="s">
        <v>40</v>
      </c>
      <c r="H63" s="4">
        <v>13</v>
      </c>
      <c r="I63" s="4">
        <v>37952</v>
      </c>
      <c r="J63" s="4">
        <v>493376</v>
      </c>
      <c r="K63" s="4">
        <v>394700.80000000005</v>
      </c>
      <c r="L63" s="4">
        <v>98675.199999999953</v>
      </c>
      <c r="M63" t="s">
        <v>46</v>
      </c>
      <c r="N63" t="s">
        <v>47</v>
      </c>
      <c r="O63" s="4">
        <v>568360.87710660766</v>
      </c>
      <c r="P63" s="3">
        <v>0.8680681937709398</v>
      </c>
      <c r="Q63" s="5">
        <f t="shared" si="0"/>
        <v>0.74056121189029767</v>
      </c>
    </row>
    <row r="64" spans="1:17" x14ac:dyDescent="0.3">
      <c r="A64" s="2">
        <v>45720</v>
      </c>
      <c r="B64" t="s">
        <v>62</v>
      </c>
      <c r="C64" t="s">
        <v>56</v>
      </c>
      <c r="D64" t="s">
        <v>59</v>
      </c>
      <c r="E64" t="s">
        <v>60</v>
      </c>
      <c r="F64" t="s">
        <v>35</v>
      </c>
      <c r="G64" t="s">
        <v>37</v>
      </c>
      <c r="H64" s="4">
        <v>10</v>
      </c>
      <c r="I64" s="4">
        <v>26984</v>
      </c>
      <c r="J64" s="4">
        <v>269840</v>
      </c>
      <c r="K64" s="4">
        <v>215872</v>
      </c>
      <c r="L64" s="4">
        <v>53968</v>
      </c>
      <c r="M64" t="s">
        <v>51</v>
      </c>
      <c r="N64" t="s">
        <v>52</v>
      </c>
      <c r="O64" s="4">
        <v>268334.0339662949</v>
      </c>
      <c r="P64" s="3">
        <v>1.0056122811238111</v>
      </c>
      <c r="Q64" s="5">
        <f t="shared" si="0"/>
        <v>-0.45307432870670644</v>
      </c>
    </row>
    <row r="65" spans="1:17" x14ac:dyDescent="0.3">
      <c r="A65" s="2">
        <v>45721</v>
      </c>
      <c r="B65" t="s">
        <v>62</v>
      </c>
      <c r="C65" t="s">
        <v>43</v>
      </c>
      <c r="D65" t="s">
        <v>44</v>
      </c>
      <c r="E65" t="s">
        <v>45</v>
      </c>
      <c r="F65" t="s">
        <v>35</v>
      </c>
      <c r="G65" t="s">
        <v>34</v>
      </c>
      <c r="H65" s="4">
        <v>12</v>
      </c>
      <c r="I65" s="4">
        <v>21036</v>
      </c>
      <c r="J65" s="4">
        <v>252432</v>
      </c>
      <c r="K65" s="4">
        <v>201945.60000000001</v>
      </c>
      <c r="L65" s="4">
        <v>50486.399999999994</v>
      </c>
      <c r="M65" t="s">
        <v>46</v>
      </c>
      <c r="N65" t="s">
        <v>47</v>
      </c>
      <c r="O65" s="4">
        <v>312081.72624123166</v>
      </c>
      <c r="P65" s="3">
        <v>0.80886504647464086</v>
      </c>
      <c r="Q65" s="5">
        <f t="shared" si="0"/>
        <v>-6.4512303587310998E-2</v>
      </c>
    </row>
    <row r="66" spans="1:17" x14ac:dyDescent="0.3">
      <c r="A66" s="2">
        <v>45722</v>
      </c>
      <c r="B66" t="s">
        <v>62</v>
      </c>
      <c r="C66" t="s">
        <v>48</v>
      </c>
      <c r="D66" t="s">
        <v>49</v>
      </c>
      <c r="E66" t="s">
        <v>50</v>
      </c>
      <c r="F66" t="s">
        <v>35</v>
      </c>
      <c r="G66" t="s">
        <v>36</v>
      </c>
      <c r="H66" s="4">
        <v>13</v>
      </c>
      <c r="I66" s="4">
        <v>8761</v>
      </c>
      <c r="J66" s="4">
        <v>113893</v>
      </c>
      <c r="K66" s="4">
        <v>91114.400000000009</v>
      </c>
      <c r="L66" s="4">
        <v>22778.599999999991</v>
      </c>
      <c r="M66" t="s">
        <v>51</v>
      </c>
      <c r="N66" t="s">
        <v>52</v>
      </c>
      <c r="O66" s="4">
        <v>141645.64152260465</v>
      </c>
      <c r="P66" s="3">
        <v>0.80406992248910303</v>
      </c>
      <c r="Q66" s="5">
        <f t="shared" si="0"/>
        <v>-0.54881710718133991</v>
      </c>
    </row>
    <row r="67" spans="1:17" x14ac:dyDescent="0.3">
      <c r="A67" s="2">
        <v>45723</v>
      </c>
      <c r="B67" t="s">
        <v>62</v>
      </c>
      <c r="C67" t="s">
        <v>53</v>
      </c>
      <c r="D67" t="s">
        <v>54</v>
      </c>
      <c r="E67" t="s">
        <v>55</v>
      </c>
      <c r="F67" t="s">
        <v>39</v>
      </c>
      <c r="G67" t="s">
        <v>38</v>
      </c>
      <c r="H67" s="4">
        <v>19</v>
      </c>
      <c r="I67" s="4">
        <v>44136</v>
      </c>
      <c r="J67" s="4">
        <v>838584</v>
      </c>
      <c r="K67" s="4">
        <v>670867.20000000007</v>
      </c>
      <c r="L67" s="4">
        <v>167716.79999999993</v>
      </c>
      <c r="M67" t="s">
        <v>46</v>
      </c>
      <c r="N67" t="s">
        <v>47</v>
      </c>
      <c r="O67" s="4">
        <v>887845.39189687034</v>
      </c>
      <c r="P67" s="3">
        <v>0.94451579931994245</v>
      </c>
      <c r="Q67" s="5">
        <f t="shared" si="0"/>
        <v>6.3629108022442118</v>
      </c>
    </row>
    <row r="68" spans="1:17" x14ac:dyDescent="0.3">
      <c r="A68" s="2">
        <v>45724</v>
      </c>
      <c r="B68" t="s">
        <v>62</v>
      </c>
      <c r="C68" t="s">
        <v>56</v>
      </c>
      <c r="D68" t="s">
        <v>57</v>
      </c>
      <c r="E68" t="s">
        <v>58</v>
      </c>
      <c r="F68" t="s">
        <v>41</v>
      </c>
      <c r="G68" t="s">
        <v>40</v>
      </c>
      <c r="H68" s="4">
        <v>5</v>
      </c>
      <c r="I68" s="4">
        <v>22069</v>
      </c>
      <c r="J68" s="4">
        <v>110345</v>
      </c>
      <c r="K68" s="4">
        <v>88276</v>
      </c>
      <c r="L68" s="4">
        <v>22069</v>
      </c>
      <c r="M68" t="s">
        <v>51</v>
      </c>
      <c r="N68" t="s">
        <v>52</v>
      </c>
      <c r="O68" s="4">
        <v>123120.37477479895</v>
      </c>
      <c r="P68" s="3">
        <v>0.89623671306908748</v>
      </c>
      <c r="Q68" s="5">
        <f t="shared" ref="Q68:Q101" si="1">(J68-J67)/J67</f>
        <v>-0.86841509019966989</v>
      </c>
    </row>
    <row r="69" spans="1:17" x14ac:dyDescent="0.3">
      <c r="A69" s="2">
        <v>45725</v>
      </c>
      <c r="B69" t="s">
        <v>62</v>
      </c>
      <c r="C69" t="s">
        <v>43</v>
      </c>
      <c r="D69" t="s">
        <v>59</v>
      </c>
      <c r="E69" t="s">
        <v>60</v>
      </c>
      <c r="F69" t="s">
        <v>35</v>
      </c>
      <c r="G69" t="s">
        <v>37</v>
      </c>
      <c r="H69" s="4">
        <v>13</v>
      </c>
      <c r="I69" s="4">
        <v>4065</v>
      </c>
      <c r="J69" s="4">
        <v>52845</v>
      </c>
      <c r="K69" s="4">
        <v>42276</v>
      </c>
      <c r="L69" s="4">
        <v>10569</v>
      </c>
      <c r="M69" t="s">
        <v>46</v>
      </c>
      <c r="N69" t="s">
        <v>47</v>
      </c>
      <c r="O69" s="4">
        <v>53962.215514500735</v>
      </c>
      <c r="P69" s="3">
        <v>0.97929633718985243</v>
      </c>
      <c r="Q69" s="5">
        <f t="shared" si="1"/>
        <v>-0.52109293579228777</v>
      </c>
    </row>
    <row r="70" spans="1:17" x14ac:dyDescent="0.3">
      <c r="A70" s="2">
        <v>45726</v>
      </c>
      <c r="B70" t="s">
        <v>62</v>
      </c>
      <c r="C70" t="s">
        <v>48</v>
      </c>
      <c r="D70" t="s">
        <v>44</v>
      </c>
      <c r="E70" t="s">
        <v>45</v>
      </c>
      <c r="F70" t="s">
        <v>35</v>
      </c>
      <c r="G70" t="s">
        <v>34</v>
      </c>
      <c r="H70" s="4">
        <v>10</v>
      </c>
      <c r="I70" s="4">
        <v>19090</v>
      </c>
      <c r="J70" s="4">
        <v>190900</v>
      </c>
      <c r="K70" s="4">
        <v>152720</v>
      </c>
      <c r="L70" s="4">
        <v>38180</v>
      </c>
      <c r="M70" t="s">
        <v>51</v>
      </c>
      <c r="N70" t="s">
        <v>52</v>
      </c>
      <c r="O70" s="4">
        <v>179545.23036138917</v>
      </c>
      <c r="P70" s="3">
        <v>1.0632418339142506</v>
      </c>
      <c r="Q70" s="5">
        <f t="shared" si="1"/>
        <v>2.6124515091304761</v>
      </c>
    </row>
    <row r="71" spans="1:17" x14ac:dyDescent="0.3">
      <c r="A71" s="2">
        <v>45727</v>
      </c>
      <c r="B71" t="s">
        <v>62</v>
      </c>
      <c r="C71" t="s">
        <v>53</v>
      </c>
      <c r="D71" t="s">
        <v>49</v>
      </c>
      <c r="E71" t="s">
        <v>50</v>
      </c>
      <c r="F71" t="s">
        <v>35</v>
      </c>
      <c r="G71" t="s">
        <v>36</v>
      </c>
      <c r="H71" s="4">
        <v>14</v>
      </c>
      <c r="I71" s="4">
        <v>10415</v>
      </c>
      <c r="J71" s="4">
        <v>145810</v>
      </c>
      <c r="K71" s="4">
        <v>116648</v>
      </c>
      <c r="L71" s="4">
        <v>29162</v>
      </c>
      <c r="M71" t="s">
        <v>46</v>
      </c>
      <c r="N71" t="s">
        <v>47</v>
      </c>
      <c r="O71" s="4">
        <v>133608.97219525898</v>
      </c>
      <c r="P71" s="3">
        <v>1.0913189256999163</v>
      </c>
      <c r="Q71" s="5">
        <f t="shared" si="1"/>
        <v>-0.23619696176008381</v>
      </c>
    </row>
    <row r="72" spans="1:17" x14ac:dyDescent="0.3">
      <c r="A72" s="2">
        <v>45728</v>
      </c>
      <c r="B72" t="s">
        <v>62</v>
      </c>
      <c r="C72" t="s">
        <v>56</v>
      </c>
      <c r="D72" t="s">
        <v>54</v>
      </c>
      <c r="E72" t="s">
        <v>55</v>
      </c>
      <c r="F72" t="s">
        <v>39</v>
      </c>
      <c r="G72" t="s">
        <v>38</v>
      </c>
      <c r="H72" s="4">
        <v>10</v>
      </c>
      <c r="I72" s="4">
        <v>45613</v>
      </c>
      <c r="J72" s="4">
        <v>456130</v>
      </c>
      <c r="K72" s="4">
        <v>364904</v>
      </c>
      <c r="L72" s="4">
        <v>91226</v>
      </c>
      <c r="M72" t="s">
        <v>51</v>
      </c>
      <c r="N72" t="s">
        <v>52</v>
      </c>
      <c r="O72" s="4">
        <v>468214.74818899605</v>
      </c>
      <c r="P72" s="3">
        <v>0.97418973187893254</v>
      </c>
      <c r="Q72" s="5">
        <f t="shared" si="1"/>
        <v>2.1282490912831769</v>
      </c>
    </row>
    <row r="73" spans="1:17" x14ac:dyDescent="0.3">
      <c r="A73" s="2">
        <v>45729</v>
      </c>
      <c r="B73" t="s">
        <v>62</v>
      </c>
      <c r="C73" t="s">
        <v>43</v>
      </c>
      <c r="D73" t="s">
        <v>57</v>
      </c>
      <c r="E73" t="s">
        <v>58</v>
      </c>
      <c r="F73" t="s">
        <v>41</v>
      </c>
      <c r="G73" t="s">
        <v>40</v>
      </c>
      <c r="H73" s="4">
        <v>15</v>
      </c>
      <c r="I73" s="4">
        <v>2108</v>
      </c>
      <c r="J73" s="4">
        <v>31620</v>
      </c>
      <c r="K73" s="4">
        <v>25296</v>
      </c>
      <c r="L73" s="4">
        <v>6324</v>
      </c>
      <c r="M73" t="s">
        <v>46</v>
      </c>
      <c r="N73" t="s">
        <v>47</v>
      </c>
      <c r="O73" s="4">
        <v>40220.935994572559</v>
      </c>
      <c r="P73" s="3">
        <v>0.78615773646507936</v>
      </c>
      <c r="Q73" s="5">
        <f t="shared" si="1"/>
        <v>-0.93067765768530897</v>
      </c>
    </row>
    <row r="74" spans="1:17" x14ac:dyDescent="0.3">
      <c r="A74" s="2">
        <v>45730</v>
      </c>
      <c r="B74" t="s">
        <v>62</v>
      </c>
      <c r="C74" t="s">
        <v>48</v>
      </c>
      <c r="D74" t="s">
        <v>59</v>
      </c>
      <c r="E74" t="s">
        <v>60</v>
      </c>
      <c r="F74" t="s">
        <v>35</v>
      </c>
      <c r="G74" t="s">
        <v>37</v>
      </c>
      <c r="H74" s="4">
        <v>13</v>
      </c>
      <c r="I74" s="4">
        <v>4852</v>
      </c>
      <c r="J74" s="4">
        <v>63076</v>
      </c>
      <c r="K74" s="4">
        <v>50460.800000000003</v>
      </c>
      <c r="L74" s="4">
        <v>12615.199999999997</v>
      </c>
      <c r="M74" t="s">
        <v>51</v>
      </c>
      <c r="N74" t="s">
        <v>52</v>
      </c>
      <c r="O74" s="4">
        <v>80585.146040039821</v>
      </c>
      <c r="P74" s="3">
        <v>0.7827248953381537</v>
      </c>
      <c r="Q74" s="5">
        <f t="shared" si="1"/>
        <v>0.99481340923466166</v>
      </c>
    </row>
    <row r="75" spans="1:17" x14ac:dyDescent="0.3">
      <c r="A75" s="2">
        <v>45731</v>
      </c>
      <c r="B75" t="s">
        <v>62</v>
      </c>
      <c r="C75" t="s">
        <v>53</v>
      </c>
      <c r="D75" t="s">
        <v>44</v>
      </c>
      <c r="E75" t="s">
        <v>45</v>
      </c>
      <c r="F75" t="s">
        <v>35</v>
      </c>
      <c r="G75" t="s">
        <v>34</v>
      </c>
      <c r="H75" s="4">
        <v>17</v>
      </c>
      <c r="I75" s="4">
        <v>1508</v>
      </c>
      <c r="J75" s="4">
        <v>25636</v>
      </c>
      <c r="K75" s="4">
        <v>20508.800000000003</v>
      </c>
      <c r="L75" s="4">
        <v>5127.1999999999971</v>
      </c>
      <c r="M75" t="s">
        <v>46</v>
      </c>
      <c r="N75" t="s">
        <v>47</v>
      </c>
      <c r="O75" s="4">
        <v>32133.583482713231</v>
      </c>
      <c r="P75" s="3">
        <v>0.79779461925842443</v>
      </c>
      <c r="Q75" s="5">
        <f t="shared" si="1"/>
        <v>-0.59356966199505357</v>
      </c>
    </row>
    <row r="76" spans="1:17" x14ac:dyDescent="0.3">
      <c r="A76" s="2">
        <v>45732</v>
      </c>
      <c r="B76" t="s">
        <v>62</v>
      </c>
      <c r="C76" t="s">
        <v>56</v>
      </c>
      <c r="D76" t="s">
        <v>49</v>
      </c>
      <c r="E76" t="s">
        <v>50</v>
      </c>
      <c r="F76" t="s">
        <v>35</v>
      </c>
      <c r="G76" t="s">
        <v>36</v>
      </c>
      <c r="H76" s="4">
        <v>15</v>
      </c>
      <c r="I76" s="4">
        <v>5493</v>
      </c>
      <c r="J76" s="4">
        <v>82395</v>
      </c>
      <c r="K76" s="4">
        <v>65916</v>
      </c>
      <c r="L76" s="4">
        <v>16479</v>
      </c>
      <c r="M76" t="s">
        <v>51</v>
      </c>
      <c r="N76" t="s">
        <v>52</v>
      </c>
      <c r="O76" s="4">
        <v>77190.694907543439</v>
      </c>
      <c r="P76" s="3">
        <v>1.0674214048557291</v>
      </c>
      <c r="Q76" s="5">
        <f t="shared" si="1"/>
        <v>2.2140349508503667</v>
      </c>
    </row>
    <row r="77" spans="1:17" x14ac:dyDescent="0.3">
      <c r="A77" s="2">
        <v>45733</v>
      </c>
      <c r="B77" t="s">
        <v>62</v>
      </c>
      <c r="C77" t="s">
        <v>43</v>
      </c>
      <c r="D77" t="s">
        <v>54</v>
      </c>
      <c r="E77" t="s">
        <v>55</v>
      </c>
      <c r="F77" t="s">
        <v>39</v>
      </c>
      <c r="G77" t="s">
        <v>38</v>
      </c>
      <c r="H77" s="4">
        <v>9</v>
      </c>
      <c r="I77" s="4">
        <v>21144</v>
      </c>
      <c r="J77" s="4">
        <v>190296</v>
      </c>
      <c r="K77" s="4">
        <v>152236.80000000002</v>
      </c>
      <c r="L77" s="4">
        <v>38059.199999999983</v>
      </c>
      <c r="M77" t="s">
        <v>46</v>
      </c>
      <c r="N77" t="s">
        <v>47</v>
      </c>
      <c r="O77" s="4">
        <v>177093.6020449191</v>
      </c>
      <c r="P77" s="3">
        <v>1.0745503948343214</v>
      </c>
      <c r="Q77" s="5">
        <f t="shared" si="1"/>
        <v>1.3095576187875477</v>
      </c>
    </row>
    <row r="78" spans="1:17" x14ac:dyDescent="0.3">
      <c r="A78" s="2">
        <v>45734</v>
      </c>
      <c r="B78" t="s">
        <v>62</v>
      </c>
      <c r="C78" t="s">
        <v>48</v>
      </c>
      <c r="D78" t="s">
        <v>57</v>
      </c>
      <c r="E78" t="s">
        <v>58</v>
      </c>
      <c r="F78" t="s">
        <v>41</v>
      </c>
      <c r="G78" t="s">
        <v>40</v>
      </c>
      <c r="H78" s="4">
        <v>5</v>
      </c>
      <c r="I78" s="4">
        <v>19482</v>
      </c>
      <c r="J78" s="4">
        <v>97410</v>
      </c>
      <c r="K78" s="4">
        <v>77928</v>
      </c>
      <c r="L78" s="4">
        <v>19482</v>
      </c>
      <c r="M78" t="s">
        <v>51</v>
      </c>
      <c r="N78" t="s">
        <v>52</v>
      </c>
      <c r="O78" s="4">
        <v>115104.66894101619</v>
      </c>
      <c r="P78" s="3">
        <v>0.84627323023635481</v>
      </c>
      <c r="Q78" s="5">
        <f t="shared" si="1"/>
        <v>-0.48811325513936182</v>
      </c>
    </row>
    <row r="79" spans="1:17" x14ac:dyDescent="0.3">
      <c r="A79" s="2">
        <v>45735</v>
      </c>
      <c r="B79" t="s">
        <v>62</v>
      </c>
      <c r="C79" t="s">
        <v>53</v>
      </c>
      <c r="D79" t="s">
        <v>59</v>
      </c>
      <c r="E79" t="s">
        <v>60</v>
      </c>
      <c r="F79" t="s">
        <v>35</v>
      </c>
      <c r="G79" t="s">
        <v>37</v>
      </c>
      <c r="H79" s="4">
        <v>5</v>
      </c>
      <c r="I79" s="4">
        <v>12313</v>
      </c>
      <c r="J79" s="4">
        <v>61565</v>
      </c>
      <c r="K79" s="4">
        <v>49252</v>
      </c>
      <c r="L79" s="4">
        <v>12313</v>
      </c>
      <c r="M79" t="s">
        <v>46</v>
      </c>
      <c r="N79" t="s">
        <v>47</v>
      </c>
      <c r="O79" s="4">
        <v>66537.062702469862</v>
      </c>
      <c r="P79" s="3">
        <v>0.92527378726194809</v>
      </c>
      <c r="Q79" s="5">
        <f t="shared" si="1"/>
        <v>-0.36798070013345652</v>
      </c>
    </row>
    <row r="80" spans="1:17" x14ac:dyDescent="0.3">
      <c r="A80" s="2">
        <v>45736</v>
      </c>
      <c r="B80" t="s">
        <v>62</v>
      </c>
      <c r="C80" t="s">
        <v>56</v>
      </c>
      <c r="D80" t="s">
        <v>44</v>
      </c>
      <c r="E80" t="s">
        <v>45</v>
      </c>
      <c r="F80" t="s">
        <v>35</v>
      </c>
      <c r="G80" t="s">
        <v>34</v>
      </c>
      <c r="H80" s="4">
        <v>12</v>
      </c>
      <c r="I80" s="4">
        <v>39334</v>
      </c>
      <c r="J80" s="4">
        <v>472008</v>
      </c>
      <c r="K80" s="4">
        <v>377606.40000000002</v>
      </c>
      <c r="L80" s="4">
        <v>94401.599999999977</v>
      </c>
      <c r="M80" t="s">
        <v>51</v>
      </c>
      <c r="N80" t="s">
        <v>52</v>
      </c>
      <c r="O80" s="4">
        <v>562233.01248775003</v>
      </c>
      <c r="P80" s="3">
        <v>0.83952380866337717</v>
      </c>
      <c r="Q80" s="5">
        <f t="shared" si="1"/>
        <v>6.6668236822870135</v>
      </c>
    </row>
    <row r="81" spans="1:17" x14ac:dyDescent="0.3">
      <c r="A81" s="2">
        <v>45737</v>
      </c>
      <c r="B81" t="s">
        <v>62</v>
      </c>
      <c r="C81" t="s">
        <v>43</v>
      </c>
      <c r="D81" t="s">
        <v>49</v>
      </c>
      <c r="E81" t="s">
        <v>50</v>
      </c>
      <c r="F81" t="s">
        <v>35</v>
      </c>
      <c r="G81" t="s">
        <v>36</v>
      </c>
      <c r="H81" s="4">
        <v>17</v>
      </c>
      <c r="I81" s="4">
        <v>31496</v>
      </c>
      <c r="J81" s="4">
        <v>535432</v>
      </c>
      <c r="K81" s="4">
        <v>428345.60000000003</v>
      </c>
      <c r="L81" s="4">
        <v>107086.39999999997</v>
      </c>
      <c r="M81" t="s">
        <v>46</v>
      </c>
      <c r="N81" t="s">
        <v>47</v>
      </c>
      <c r="O81" s="4">
        <v>668738.90501954744</v>
      </c>
      <c r="P81" s="3">
        <v>0.80065926474600602</v>
      </c>
      <c r="Q81" s="5">
        <f t="shared" si="1"/>
        <v>0.13437060388806971</v>
      </c>
    </row>
    <row r="82" spans="1:17" x14ac:dyDescent="0.3">
      <c r="A82" s="2">
        <v>45738</v>
      </c>
      <c r="B82" t="s">
        <v>62</v>
      </c>
      <c r="C82" t="s">
        <v>48</v>
      </c>
      <c r="D82" t="s">
        <v>54</v>
      </c>
      <c r="E82" t="s">
        <v>55</v>
      </c>
      <c r="F82" t="s">
        <v>39</v>
      </c>
      <c r="G82" t="s">
        <v>38</v>
      </c>
      <c r="H82" s="4">
        <v>20</v>
      </c>
      <c r="I82" s="4">
        <v>27828</v>
      </c>
      <c r="J82" s="4">
        <v>556560</v>
      </c>
      <c r="K82" s="4">
        <v>445248</v>
      </c>
      <c r="L82" s="4">
        <v>111312</v>
      </c>
      <c r="M82" t="s">
        <v>51</v>
      </c>
      <c r="N82" t="s">
        <v>52</v>
      </c>
      <c r="O82" s="4">
        <v>673863.17547934398</v>
      </c>
      <c r="P82" s="3">
        <v>0.82592434228817768</v>
      </c>
      <c r="Q82" s="5">
        <f t="shared" si="1"/>
        <v>3.9459725978275483E-2</v>
      </c>
    </row>
    <row r="83" spans="1:17" x14ac:dyDescent="0.3">
      <c r="A83" s="2">
        <v>45739</v>
      </c>
      <c r="B83" t="s">
        <v>62</v>
      </c>
      <c r="C83" t="s">
        <v>53</v>
      </c>
      <c r="D83" t="s">
        <v>57</v>
      </c>
      <c r="E83" t="s">
        <v>58</v>
      </c>
      <c r="F83" t="s">
        <v>41</v>
      </c>
      <c r="G83" t="s">
        <v>40</v>
      </c>
      <c r="H83" s="4">
        <v>16</v>
      </c>
      <c r="I83" s="4">
        <v>25841</v>
      </c>
      <c r="J83" s="4">
        <v>413456</v>
      </c>
      <c r="K83" s="4">
        <v>330764.80000000005</v>
      </c>
      <c r="L83" s="4">
        <v>82691.199999999953</v>
      </c>
      <c r="M83" t="s">
        <v>46</v>
      </c>
      <c r="N83" t="s">
        <v>47</v>
      </c>
      <c r="O83" s="4">
        <v>392545.39813744585</v>
      </c>
      <c r="P83" s="3">
        <v>1.0532692574203417</v>
      </c>
      <c r="Q83" s="5">
        <f t="shared" si="1"/>
        <v>-0.25712232284030473</v>
      </c>
    </row>
    <row r="84" spans="1:17" x14ac:dyDescent="0.3">
      <c r="A84" s="2">
        <v>45740</v>
      </c>
      <c r="B84" t="s">
        <v>62</v>
      </c>
      <c r="C84" t="s">
        <v>56</v>
      </c>
      <c r="D84" t="s">
        <v>59</v>
      </c>
      <c r="E84" t="s">
        <v>60</v>
      </c>
      <c r="F84" t="s">
        <v>35</v>
      </c>
      <c r="G84" t="s">
        <v>37</v>
      </c>
      <c r="H84" s="4">
        <v>9</v>
      </c>
      <c r="I84" s="4">
        <v>23450</v>
      </c>
      <c r="J84" s="4">
        <v>211050</v>
      </c>
      <c r="K84" s="4">
        <v>168840</v>
      </c>
      <c r="L84" s="4">
        <v>42210</v>
      </c>
      <c r="M84" t="s">
        <v>51</v>
      </c>
      <c r="N84" t="s">
        <v>52</v>
      </c>
      <c r="O84" s="4">
        <v>272730.55564942257</v>
      </c>
      <c r="P84" s="3">
        <v>0.77384068498467429</v>
      </c>
      <c r="Q84" s="5">
        <f t="shared" si="1"/>
        <v>-0.48954665067141362</v>
      </c>
    </row>
    <row r="85" spans="1:17" x14ac:dyDescent="0.3">
      <c r="A85" s="2">
        <v>45741</v>
      </c>
      <c r="B85" t="s">
        <v>62</v>
      </c>
      <c r="C85" t="s">
        <v>43</v>
      </c>
      <c r="D85" t="s">
        <v>44</v>
      </c>
      <c r="E85" t="s">
        <v>45</v>
      </c>
      <c r="F85" t="s">
        <v>35</v>
      </c>
      <c r="G85" t="s">
        <v>34</v>
      </c>
      <c r="H85" s="4">
        <v>17</v>
      </c>
      <c r="I85" s="4">
        <v>5089</v>
      </c>
      <c r="J85" s="4">
        <v>86513</v>
      </c>
      <c r="K85" s="4">
        <v>69210.400000000009</v>
      </c>
      <c r="L85" s="4">
        <v>17302.599999999991</v>
      </c>
      <c r="M85" t="s">
        <v>46</v>
      </c>
      <c r="N85" t="s">
        <v>47</v>
      </c>
      <c r="O85" s="4">
        <v>92497.298088257157</v>
      </c>
      <c r="P85" s="3">
        <v>0.93530299574213305</v>
      </c>
      <c r="Q85" s="5">
        <f t="shared" si="1"/>
        <v>-0.59008291873963514</v>
      </c>
    </row>
    <row r="86" spans="1:17" x14ac:dyDescent="0.3">
      <c r="A86" s="2">
        <v>45742</v>
      </c>
      <c r="B86" t="s">
        <v>62</v>
      </c>
      <c r="C86" t="s">
        <v>48</v>
      </c>
      <c r="D86" t="s">
        <v>49</v>
      </c>
      <c r="E86" t="s">
        <v>50</v>
      </c>
      <c r="F86" t="s">
        <v>35</v>
      </c>
      <c r="G86" t="s">
        <v>36</v>
      </c>
      <c r="H86" s="4">
        <v>20</v>
      </c>
      <c r="I86" s="4">
        <v>27426</v>
      </c>
      <c r="J86" s="4">
        <v>548520</v>
      </c>
      <c r="K86" s="4">
        <v>438816</v>
      </c>
      <c r="L86" s="4">
        <v>109704</v>
      </c>
      <c r="M86" t="s">
        <v>51</v>
      </c>
      <c r="N86" t="s">
        <v>52</v>
      </c>
      <c r="O86" s="4">
        <v>533603.86881411367</v>
      </c>
      <c r="P86" s="3">
        <v>1.0279535664144193</v>
      </c>
      <c r="Q86" s="5">
        <f t="shared" si="1"/>
        <v>5.340318796019095</v>
      </c>
    </row>
    <row r="87" spans="1:17" x14ac:dyDescent="0.3">
      <c r="A87" s="2">
        <v>45743</v>
      </c>
      <c r="B87" t="s">
        <v>62</v>
      </c>
      <c r="C87" t="s">
        <v>53</v>
      </c>
      <c r="D87" t="s">
        <v>54</v>
      </c>
      <c r="E87" t="s">
        <v>55</v>
      </c>
      <c r="F87" t="s">
        <v>39</v>
      </c>
      <c r="G87" t="s">
        <v>38</v>
      </c>
      <c r="H87" s="4">
        <v>16</v>
      </c>
      <c r="I87" s="4">
        <v>2049</v>
      </c>
      <c r="J87" s="4">
        <v>32784</v>
      </c>
      <c r="K87" s="4">
        <v>26227.200000000001</v>
      </c>
      <c r="L87" s="4">
        <v>6556.7999999999993</v>
      </c>
      <c r="M87" t="s">
        <v>46</v>
      </c>
      <c r="N87" t="s">
        <v>47</v>
      </c>
      <c r="O87" s="4">
        <v>33220.262141854604</v>
      </c>
      <c r="P87" s="3">
        <v>0.98686758882299874</v>
      </c>
      <c r="Q87" s="5">
        <f t="shared" si="1"/>
        <v>-0.94023189674031937</v>
      </c>
    </row>
    <row r="88" spans="1:17" x14ac:dyDescent="0.3">
      <c r="A88" s="2">
        <v>45744</v>
      </c>
      <c r="B88" t="s">
        <v>62</v>
      </c>
      <c r="C88" t="s">
        <v>56</v>
      </c>
      <c r="D88" t="s">
        <v>57</v>
      </c>
      <c r="E88" t="s">
        <v>58</v>
      </c>
      <c r="F88" t="s">
        <v>41</v>
      </c>
      <c r="G88" t="s">
        <v>40</v>
      </c>
      <c r="H88" s="4">
        <v>20</v>
      </c>
      <c r="I88" s="4">
        <v>46604</v>
      </c>
      <c r="J88" s="4">
        <v>932080</v>
      </c>
      <c r="K88" s="4">
        <v>745664</v>
      </c>
      <c r="L88" s="4">
        <v>186416</v>
      </c>
      <c r="M88" t="s">
        <v>51</v>
      </c>
      <c r="N88" t="s">
        <v>52</v>
      </c>
      <c r="O88" s="4">
        <v>1082322.6652455023</v>
      </c>
      <c r="P88" s="3">
        <v>0.86118495891294777</v>
      </c>
      <c r="Q88" s="5">
        <f t="shared" si="1"/>
        <v>27.430941922889215</v>
      </c>
    </row>
    <row r="89" spans="1:17" x14ac:dyDescent="0.3">
      <c r="A89" s="2">
        <v>45745</v>
      </c>
      <c r="B89" t="s">
        <v>62</v>
      </c>
      <c r="C89" t="s">
        <v>43</v>
      </c>
      <c r="D89" t="s">
        <v>59</v>
      </c>
      <c r="E89" t="s">
        <v>60</v>
      </c>
      <c r="F89" t="s">
        <v>35</v>
      </c>
      <c r="G89" t="s">
        <v>37</v>
      </c>
      <c r="H89" s="4">
        <v>2</v>
      </c>
      <c r="I89" s="4">
        <v>22810</v>
      </c>
      <c r="J89" s="4">
        <v>45620</v>
      </c>
      <c r="K89" s="4">
        <v>36496</v>
      </c>
      <c r="L89" s="4">
        <v>9124</v>
      </c>
      <c r="M89" t="s">
        <v>46</v>
      </c>
      <c r="N89" t="s">
        <v>47</v>
      </c>
      <c r="O89" s="4">
        <v>58835.271022123074</v>
      </c>
      <c r="P89" s="3">
        <v>0.77538522738930016</v>
      </c>
      <c r="Q89" s="5">
        <f t="shared" si="1"/>
        <v>-0.95105570337310097</v>
      </c>
    </row>
    <row r="90" spans="1:17" x14ac:dyDescent="0.3">
      <c r="A90" s="2">
        <v>45746</v>
      </c>
      <c r="B90" t="s">
        <v>62</v>
      </c>
      <c r="C90" t="s">
        <v>48</v>
      </c>
      <c r="D90" t="s">
        <v>44</v>
      </c>
      <c r="E90" t="s">
        <v>45</v>
      </c>
      <c r="F90" t="s">
        <v>35</v>
      </c>
      <c r="G90" t="s">
        <v>34</v>
      </c>
      <c r="H90" s="4">
        <v>4</v>
      </c>
      <c r="I90" s="4">
        <v>22170</v>
      </c>
      <c r="J90" s="4">
        <v>88680</v>
      </c>
      <c r="K90" s="4">
        <v>70944</v>
      </c>
      <c r="L90" s="4">
        <v>17736</v>
      </c>
      <c r="M90" t="s">
        <v>51</v>
      </c>
      <c r="N90" t="s">
        <v>52</v>
      </c>
      <c r="O90" s="4">
        <v>114329.14797259055</v>
      </c>
      <c r="P90" s="3">
        <v>0.77565521629934897</v>
      </c>
      <c r="Q90" s="5">
        <f t="shared" si="1"/>
        <v>0.94388426128890834</v>
      </c>
    </row>
    <row r="91" spans="1:17" x14ac:dyDescent="0.3">
      <c r="A91" s="2">
        <v>45747</v>
      </c>
      <c r="B91" t="s">
        <v>62</v>
      </c>
      <c r="C91" t="s">
        <v>53</v>
      </c>
      <c r="D91" t="s">
        <v>49</v>
      </c>
      <c r="E91" t="s">
        <v>50</v>
      </c>
      <c r="F91" t="s">
        <v>35</v>
      </c>
      <c r="G91" t="s">
        <v>36</v>
      </c>
      <c r="H91" s="4">
        <v>12</v>
      </c>
      <c r="I91" s="4">
        <v>38989</v>
      </c>
      <c r="J91" s="4">
        <v>467868</v>
      </c>
      <c r="K91" s="4">
        <v>374294.4</v>
      </c>
      <c r="L91" s="4">
        <v>93573.599999999977</v>
      </c>
      <c r="M91" t="s">
        <v>46</v>
      </c>
      <c r="N91" t="s">
        <v>47</v>
      </c>
      <c r="O91" s="4">
        <v>555309.44007095473</v>
      </c>
      <c r="P91" s="3">
        <v>0.84253564992559482</v>
      </c>
      <c r="Q91" s="5">
        <f t="shared" si="1"/>
        <v>4.275913396481732</v>
      </c>
    </row>
    <row r="92" spans="1:17" x14ac:dyDescent="0.3">
      <c r="A92" s="2">
        <v>45748</v>
      </c>
      <c r="B92" t="s">
        <v>62</v>
      </c>
      <c r="C92" t="s">
        <v>56</v>
      </c>
      <c r="D92" t="s">
        <v>54</v>
      </c>
      <c r="E92" t="s">
        <v>55</v>
      </c>
      <c r="F92" t="s">
        <v>39</v>
      </c>
      <c r="G92" t="s">
        <v>38</v>
      </c>
      <c r="H92" s="4">
        <v>9</v>
      </c>
      <c r="I92" s="4">
        <v>23628</v>
      </c>
      <c r="J92" s="4">
        <v>212652</v>
      </c>
      <c r="K92" s="4">
        <v>170121.60000000001</v>
      </c>
      <c r="L92" s="4">
        <v>42530.399999999994</v>
      </c>
      <c r="M92" t="s">
        <v>51</v>
      </c>
      <c r="N92" t="s">
        <v>52</v>
      </c>
      <c r="O92" s="4">
        <v>255791.60501414753</v>
      </c>
      <c r="P92" s="3">
        <v>0.83134862845963409</v>
      </c>
      <c r="Q92" s="5">
        <f t="shared" si="1"/>
        <v>-0.54548718869424706</v>
      </c>
    </row>
    <row r="93" spans="1:17" x14ac:dyDescent="0.3">
      <c r="A93" s="2">
        <v>45749</v>
      </c>
      <c r="B93" t="s">
        <v>62</v>
      </c>
      <c r="C93" t="s">
        <v>43</v>
      </c>
      <c r="D93" t="s">
        <v>57</v>
      </c>
      <c r="E93" t="s">
        <v>58</v>
      </c>
      <c r="F93" t="s">
        <v>41</v>
      </c>
      <c r="G93" t="s">
        <v>40</v>
      </c>
      <c r="H93" s="4">
        <v>2</v>
      </c>
      <c r="I93" s="4">
        <v>5211</v>
      </c>
      <c r="J93" s="4">
        <v>10422</v>
      </c>
      <c r="K93" s="4">
        <v>8337.6</v>
      </c>
      <c r="L93" s="4">
        <v>2084.3999999999996</v>
      </c>
      <c r="M93" t="s">
        <v>46</v>
      </c>
      <c r="N93" t="s">
        <v>47</v>
      </c>
      <c r="O93" s="4">
        <v>13217.164461623883</v>
      </c>
      <c r="P93" s="3">
        <v>0.78852011187878768</v>
      </c>
      <c r="Q93" s="5">
        <f t="shared" si="1"/>
        <v>-0.95099035043169122</v>
      </c>
    </row>
    <row r="94" spans="1:17" x14ac:dyDescent="0.3">
      <c r="A94" s="2">
        <v>45750</v>
      </c>
      <c r="B94" t="s">
        <v>62</v>
      </c>
      <c r="C94" t="s">
        <v>48</v>
      </c>
      <c r="D94" t="s">
        <v>59</v>
      </c>
      <c r="E94" t="s">
        <v>60</v>
      </c>
      <c r="F94" t="s">
        <v>35</v>
      </c>
      <c r="G94" t="s">
        <v>37</v>
      </c>
      <c r="H94" s="4">
        <v>11</v>
      </c>
      <c r="I94" s="4">
        <v>13061</v>
      </c>
      <c r="J94" s="4">
        <v>143671</v>
      </c>
      <c r="K94" s="4">
        <v>114936.8</v>
      </c>
      <c r="L94" s="4">
        <v>28734.199999999997</v>
      </c>
      <c r="M94" t="s">
        <v>51</v>
      </c>
      <c r="N94" t="s">
        <v>52</v>
      </c>
      <c r="O94" s="4">
        <v>154206.51261415696</v>
      </c>
      <c r="P94" s="3">
        <v>0.93167919800820564</v>
      </c>
      <c r="Q94" s="5">
        <f t="shared" si="1"/>
        <v>12.78535789675686</v>
      </c>
    </row>
    <row r="95" spans="1:17" x14ac:dyDescent="0.3">
      <c r="A95" s="2">
        <v>45751</v>
      </c>
      <c r="B95" t="s">
        <v>63</v>
      </c>
      <c r="C95" t="s">
        <v>53</v>
      </c>
      <c r="D95" t="s">
        <v>44</v>
      </c>
      <c r="E95" t="s">
        <v>45</v>
      </c>
      <c r="F95" t="s">
        <v>35</v>
      </c>
      <c r="G95" t="s">
        <v>34</v>
      </c>
      <c r="H95" s="4">
        <v>1</v>
      </c>
      <c r="I95" s="4">
        <v>7598</v>
      </c>
      <c r="J95" s="4">
        <v>7598</v>
      </c>
      <c r="K95" s="4">
        <v>6078.4000000000005</v>
      </c>
      <c r="L95" s="4">
        <v>1519.5999999999995</v>
      </c>
      <c r="M95" t="s">
        <v>46</v>
      </c>
      <c r="N95" t="s">
        <v>47</v>
      </c>
      <c r="O95" s="4">
        <v>9561.6836143823675</v>
      </c>
      <c r="P95" s="3">
        <v>0.79462993196839726</v>
      </c>
      <c r="Q95" s="5">
        <f t="shared" si="1"/>
        <v>-0.94711528422576585</v>
      </c>
    </row>
    <row r="96" spans="1:17" x14ac:dyDescent="0.3">
      <c r="A96" s="2">
        <v>45752</v>
      </c>
      <c r="B96" t="s">
        <v>63</v>
      </c>
      <c r="C96" t="s">
        <v>56</v>
      </c>
      <c r="D96" t="s">
        <v>49</v>
      </c>
      <c r="E96" t="s">
        <v>50</v>
      </c>
      <c r="F96" t="s">
        <v>35</v>
      </c>
      <c r="G96" t="s">
        <v>36</v>
      </c>
      <c r="H96" s="4">
        <v>9</v>
      </c>
      <c r="I96" s="4">
        <v>39109</v>
      </c>
      <c r="J96" s="4">
        <v>351981</v>
      </c>
      <c r="K96" s="4">
        <v>281584.8</v>
      </c>
      <c r="L96" s="4">
        <v>70396.200000000012</v>
      </c>
      <c r="M96" t="s">
        <v>51</v>
      </c>
      <c r="N96" t="s">
        <v>52</v>
      </c>
      <c r="O96" s="4">
        <v>374672.2349769866</v>
      </c>
      <c r="P96" s="3">
        <v>0.93943710566548821</v>
      </c>
      <c r="Q96" s="5">
        <f t="shared" si="1"/>
        <v>45.325480389576207</v>
      </c>
    </row>
    <row r="97" spans="1:17" x14ac:dyDescent="0.3">
      <c r="A97" s="2">
        <v>45753</v>
      </c>
      <c r="B97" t="s">
        <v>63</v>
      </c>
      <c r="C97" t="s">
        <v>43</v>
      </c>
      <c r="D97" t="s">
        <v>54</v>
      </c>
      <c r="E97" t="s">
        <v>55</v>
      </c>
      <c r="F97" t="s">
        <v>39</v>
      </c>
      <c r="G97" t="s">
        <v>38</v>
      </c>
      <c r="H97" s="4">
        <v>17</v>
      </c>
      <c r="I97" s="4">
        <v>26772</v>
      </c>
      <c r="J97" s="4">
        <v>455124</v>
      </c>
      <c r="K97" s="4">
        <v>364099.2</v>
      </c>
      <c r="L97" s="4">
        <v>91024.799999999988</v>
      </c>
      <c r="M97" t="s">
        <v>46</v>
      </c>
      <c r="N97" t="s">
        <v>47</v>
      </c>
      <c r="O97" s="4">
        <v>573653.39808597928</v>
      </c>
      <c r="P97" s="3">
        <v>0.79337802498606647</v>
      </c>
      <c r="Q97" s="5">
        <f t="shared" si="1"/>
        <v>0.29303570363173015</v>
      </c>
    </row>
    <row r="98" spans="1:17" x14ac:dyDescent="0.3">
      <c r="A98" s="2">
        <v>45754</v>
      </c>
      <c r="B98" t="s">
        <v>63</v>
      </c>
      <c r="C98" t="s">
        <v>48</v>
      </c>
      <c r="D98" t="s">
        <v>57</v>
      </c>
      <c r="E98" t="s">
        <v>58</v>
      </c>
      <c r="F98" t="s">
        <v>41</v>
      </c>
      <c r="G98" t="s">
        <v>40</v>
      </c>
      <c r="H98" s="4">
        <v>18</v>
      </c>
      <c r="I98" s="4">
        <v>16486</v>
      </c>
      <c r="J98" s="4">
        <v>296748</v>
      </c>
      <c r="K98" s="4">
        <v>237398.40000000002</v>
      </c>
      <c r="L98" s="4">
        <v>59349.599999999977</v>
      </c>
      <c r="M98" t="s">
        <v>51</v>
      </c>
      <c r="N98" t="s">
        <v>52</v>
      </c>
      <c r="O98" s="4">
        <v>287034.35958546825</v>
      </c>
      <c r="P98" s="3">
        <v>1.0338413855001891</v>
      </c>
      <c r="Q98" s="5">
        <f t="shared" si="1"/>
        <v>-0.34798428560128669</v>
      </c>
    </row>
    <row r="99" spans="1:17" x14ac:dyDescent="0.3">
      <c r="A99" s="2">
        <v>45755</v>
      </c>
      <c r="B99" t="s">
        <v>63</v>
      </c>
      <c r="C99" t="s">
        <v>53</v>
      </c>
      <c r="D99" t="s">
        <v>59</v>
      </c>
      <c r="E99" t="s">
        <v>60</v>
      </c>
      <c r="F99" t="s">
        <v>35</v>
      </c>
      <c r="G99" t="s">
        <v>37</v>
      </c>
      <c r="H99" s="4">
        <v>7</v>
      </c>
      <c r="I99" s="4">
        <v>29309</v>
      </c>
      <c r="J99" s="4">
        <v>205163</v>
      </c>
      <c r="K99" s="4">
        <v>164130.40000000002</v>
      </c>
      <c r="L99" s="4">
        <v>41032.599999999977</v>
      </c>
      <c r="M99" t="s">
        <v>46</v>
      </c>
      <c r="N99" t="s">
        <v>47</v>
      </c>
      <c r="O99" s="4">
        <v>211715.10618033243</v>
      </c>
      <c r="P99" s="3">
        <v>0.96905224998564088</v>
      </c>
      <c r="Q99" s="5">
        <f t="shared" si="1"/>
        <v>-0.30862887028724711</v>
      </c>
    </row>
    <row r="100" spans="1:17" x14ac:dyDescent="0.3">
      <c r="A100" s="2">
        <v>45756</v>
      </c>
      <c r="B100" t="s">
        <v>63</v>
      </c>
      <c r="C100" t="s">
        <v>56</v>
      </c>
      <c r="D100" t="s">
        <v>44</v>
      </c>
      <c r="E100" t="s">
        <v>45</v>
      </c>
      <c r="F100" t="s">
        <v>35</v>
      </c>
      <c r="G100" t="s">
        <v>34</v>
      </c>
      <c r="H100" s="4">
        <v>4</v>
      </c>
      <c r="I100" s="4">
        <v>39268</v>
      </c>
      <c r="J100" s="4">
        <v>157072</v>
      </c>
      <c r="K100" s="4">
        <v>125657.60000000001</v>
      </c>
      <c r="L100" s="4">
        <v>31414.399999999994</v>
      </c>
      <c r="M100" t="s">
        <v>51</v>
      </c>
      <c r="N100" t="s">
        <v>52</v>
      </c>
      <c r="O100" s="4">
        <v>161481.06068774231</v>
      </c>
      <c r="P100" s="3">
        <v>0.97269611266507494</v>
      </c>
      <c r="Q100" s="5">
        <f t="shared" si="1"/>
        <v>-0.23440386424452753</v>
      </c>
    </row>
    <row r="101" spans="1:17" x14ac:dyDescent="0.3">
      <c r="A101" s="2">
        <v>45757</v>
      </c>
      <c r="B101" t="s">
        <v>63</v>
      </c>
      <c r="C101" t="s">
        <v>43</v>
      </c>
      <c r="D101" t="s">
        <v>49</v>
      </c>
      <c r="E101" t="s">
        <v>50</v>
      </c>
      <c r="F101" t="s">
        <v>35</v>
      </c>
      <c r="G101" t="s">
        <v>36</v>
      </c>
      <c r="H101" s="4">
        <v>18</v>
      </c>
      <c r="I101" s="4">
        <v>37530</v>
      </c>
      <c r="J101" s="4">
        <v>675540</v>
      </c>
      <c r="K101" s="4">
        <v>540432</v>
      </c>
      <c r="L101" s="4">
        <v>135108</v>
      </c>
      <c r="M101" t="s">
        <v>46</v>
      </c>
      <c r="N101" t="s">
        <v>47</v>
      </c>
      <c r="O101" s="4">
        <v>832112.67031448591</v>
      </c>
      <c r="P101" s="3">
        <v>0.8118371755410102</v>
      </c>
      <c r="Q101" s="5">
        <f t="shared" si="1"/>
        <v>3.3008301925231742</v>
      </c>
    </row>
  </sheetData>
  <phoneticPr fontId="3" type="noConversion"/>
  <dataValidations count="1">
    <dataValidation type="list" allowBlank="1" showInputMessage="1" showErrorMessage="1" sqref="N2:N101" xr:uid="{80CA6E66-8F03-4015-A555-9836A4697478}">
      <formula1>"Online,Offline"</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CE98E-5896-47C6-BD0E-686579EC80B4}">
  <dimension ref="A1:B9"/>
  <sheetViews>
    <sheetView workbookViewId="0">
      <selection sqref="A1:B9"/>
    </sheetView>
  </sheetViews>
  <sheetFormatPr defaultRowHeight="14.4" x14ac:dyDescent="0.3"/>
  <cols>
    <col min="1" max="1" width="19.109375" bestFit="1" customWidth="1"/>
    <col min="2" max="2" width="18.44140625" bestFit="1" customWidth="1"/>
    <col min="9" max="9" width="9.5546875" bestFit="1" customWidth="1"/>
  </cols>
  <sheetData>
    <row r="1" spans="1:2" ht="19.8" x14ac:dyDescent="0.4">
      <c r="A1" s="7" t="s">
        <v>70</v>
      </c>
      <c r="B1" s="9" t="s">
        <v>71</v>
      </c>
    </row>
    <row r="2" spans="1:2" ht="19.8" x14ac:dyDescent="0.4">
      <c r="A2" s="6" t="s">
        <v>64</v>
      </c>
      <c r="B2" s="10">
        <f>SUM(Table1[Revenue])</f>
        <v>23420285</v>
      </c>
    </row>
    <row r="3" spans="1:2" ht="19.8" x14ac:dyDescent="0.4">
      <c r="A3" s="6" t="s">
        <v>65</v>
      </c>
      <c r="B3" s="10">
        <f>SUM(Table1[Profit])</f>
        <v>4698057.0000000019</v>
      </c>
    </row>
    <row r="4" spans="1:2" ht="19.8" x14ac:dyDescent="0.4">
      <c r="A4" s="6" t="s">
        <v>66</v>
      </c>
      <c r="B4" s="11">
        <f>SUM(Table1[Units])</f>
        <v>1130</v>
      </c>
    </row>
    <row r="5" spans="1:2" ht="19.8" x14ac:dyDescent="0.4">
      <c r="A5" s="6" t="s">
        <v>67</v>
      </c>
      <c r="B5" s="10">
        <f>SUM(Table1[Target])</f>
        <v>26052216.346990556</v>
      </c>
    </row>
    <row r="6" spans="1:2" ht="19.8" x14ac:dyDescent="0.4">
      <c r="A6" s="6" t="s">
        <v>15</v>
      </c>
      <c r="B6" s="12">
        <f>B2/B5</f>
        <v>0.89897476237968577</v>
      </c>
    </row>
    <row r="7" spans="1:2" ht="19.8" x14ac:dyDescent="0.4">
      <c r="A7" s="6" t="s">
        <v>16</v>
      </c>
      <c r="B7" s="12">
        <f>AVERAGE(Table1[Growth %])</f>
        <v>2.5273078066306542</v>
      </c>
    </row>
    <row r="8" spans="1:2" ht="19.8" x14ac:dyDescent="0.4">
      <c r="A8" s="6" t="s">
        <v>68</v>
      </c>
      <c r="B8" s="13" t="str">
        <f>INDEX(Table1[Region],
MATCH(MAX(Table1[Revenue]),Table1[Revenue],0))</f>
        <v>North</v>
      </c>
    </row>
    <row r="9" spans="1:2" ht="19.8" x14ac:dyDescent="0.4">
      <c r="A9" s="8" t="s">
        <v>69</v>
      </c>
      <c r="B9" s="14" t="str">
        <f>INDEX(Table1[Product],
MATCH(MAX(Table1[Revenue]),Table1[Revenue],0))</f>
        <v>Table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CD06-E2BB-4256-94F4-5BB7B0FAD2B1}">
  <dimension ref="A3:J66"/>
  <sheetViews>
    <sheetView workbookViewId="0">
      <selection activeCell="H4" sqref="H4"/>
    </sheetView>
  </sheetViews>
  <sheetFormatPr defaultRowHeight="14.4" x14ac:dyDescent="0.3"/>
  <cols>
    <col min="1" max="1" width="12.44140625" bestFit="1" customWidth="1"/>
    <col min="2" max="2" width="14.109375" bestFit="1" customWidth="1"/>
    <col min="3" max="3" width="15.6640625" bestFit="1" customWidth="1"/>
    <col min="4" max="4" width="12.44140625" bestFit="1" customWidth="1"/>
    <col min="5" max="5" width="14.109375" bestFit="1" customWidth="1"/>
    <col min="6" max="6" width="9.5546875" bestFit="1" customWidth="1"/>
    <col min="7" max="7" width="13.21875" bestFit="1" customWidth="1"/>
    <col min="8" max="8" width="10.21875" bestFit="1" customWidth="1"/>
    <col min="9" max="9" width="13.44140625" bestFit="1" customWidth="1"/>
    <col min="10" max="10" width="8.77734375" bestFit="1" customWidth="1"/>
  </cols>
  <sheetData>
    <row r="3" spans="1:10" x14ac:dyDescent="0.3">
      <c r="A3" s="15" t="s">
        <v>72</v>
      </c>
      <c r="B3" t="s">
        <v>74</v>
      </c>
      <c r="D3" s="15" t="s">
        <v>72</v>
      </c>
      <c r="E3" t="s">
        <v>74</v>
      </c>
    </row>
    <row r="4" spans="1:10" x14ac:dyDescent="0.3">
      <c r="A4" s="16" t="s">
        <v>48</v>
      </c>
      <c r="B4" s="4">
        <v>5256970</v>
      </c>
      <c r="D4" s="16" t="s">
        <v>42</v>
      </c>
      <c r="E4" s="4">
        <v>6989569</v>
      </c>
    </row>
    <row r="5" spans="1:10" x14ac:dyDescent="0.3">
      <c r="A5" s="16" t="s">
        <v>56</v>
      </c>
      <c r="B5" s="4">
        <v>7048982</v>
      </c>
      <c r="D5" s="16" t="s">
        <v>61</v>
      </c>
      <c r="E5" s="4">
        <v>6541397</v>
      </c>
    </row>
    <row r="6" spans="1:10" x14ac:dyDescent="0.3">
      <c r="A6" s="16" t="s">
        <v>43</v>
      </c>
      <c r="B6" s="4">
        <v>5784984</v>
      </c>
      <c r="D6" s="16" t="s">
        <v>62</v>
      </c>
      <c r="E6" s="4">
        <v>7740093</v>
      </c>
    </row>
    <row r="7" spans="1:10" x14ac:dyDescent="0.3">
      <c r="A7" s="16" t="s">
        <v>53</v>
      </c>
      <c r="B7" s="4">
        <v>5329349</v>
      </c>
      <c r="D7" s="16" t="s">
        <v>63</v>
      </c>
      <c r="E7" s="4">
        <v>2149226</v>
      </c>
    </row>
    <row r="8" spans="1:10" x14ac:dyDescent="0.3">
      <c r="A8" s="16" t="s">
        <v>73</v>
      </c>
      <c r="B8" s="4">
        <v>23420285</v>
      </c>
      <c r="D8" s="16" t="s">
        <v>73</v>
      </c>
      <c r="E8" s="4">
        <v>23420285</v>
      </c>
    </row>
    <row r="10" spans="1:10" x14ac:dyDescent="0.3">
      <c r="A10" s="15" t="s">
        <v>72</v>
      </c>
      <c r="B10" t="s">
        <v>74</v>
      </c>
      <c r="D10" s="15" t="s">
        <v>72</v>
      </c>
      <c r="E10" t="s">
        <v>74</v>
      </c>
    </row>
    <row r="11" spans="1:10" x14ac:dyDescent="0.3">
      <c r="A11" s="16" t="s">
        <v>39</v>
      </c>
      <c r="B11" s="4">
        <v>4877818</v>
      </c>
      <c r="D11" s="16" t="s">
        <v>47</v>
      </c>
      <c r="E11" s="3">
        <v>0.46388560173371074</v>
      </c>
    </row>
    <row r="12" spans="1:10" x14ac:dyDescent="0.3">
      <c r="A12" s="16" t="s">
        <v>35</v>
      </c>
      <c r="B12" s="4">
        <v>14279198</v>
      </c>
      <c r="D12" s="16" t="s">
        <v>52</v>
      </c>
      <c r="E12" s="3">
        <v>0.53611439826628926</v>
      </c>
    </row>
    <row r="13" spans="1:10" x14ac:dyDescent="0.3">
      <c r="A13" s="16" t="s">
        <v>41</v>
      </c>
      <c r="B13" s="4">
        <v>4263269</v>
      </c>
      <c r="D13" s="16" t="s">
        <v>73</v>
      </c>
      <c r="E13" s="3">
        <v>1</v>
      </c>
    </row>
    <row r="14" spans="1:10" x14ac:dyDescent="0.3">
      <c r="A14" s="16" t="s">
        <v>73</v>
      </c>
      <c r="B14" s="4">
        <v>23420285</v>
      </c>
    </row>
    <row r="15" spans="1:10" x14ac:dyDescent="0.3">
      <c r="D15" s="18" t="s">
        <v>70</v>
      </c>
      <c r="E15" s="18" t="s">
        <v>64</v>
      </c>
      <c r="F15" s="18" t="s">
        <v>65</v>
      </c>
      <c r="G15" s="18" t="s">
        <v>66</v>
      </c>
      <c r="H15" s="18" t="s">
        <v>67</v>
      </c>
      <c r="I15" s="18" t="s">
        <v>15</v>
      </c>
      <c r="J15" s="18" t="s">
        <v>16</v>
      </c>
    </row>
    <row r="16" spans="1:10" x14ac:dyDescent="0.3">
      <c r="A16" s="15" t="s">
        <v>72</v>
      </c>
      <c r="B16" t="s">
        <v>74</v>
      </c>
      <c r="D16" s="18" t="s">
        <v>71</v>
      </c>
      <c r="E16" s="18" t="s">
        <v>75</v>
      </c>
      <c r="F16" s="18" t="s">
        <v>76</v>
      </c>
      <c r="G16" s="18" t="s">
        <v>77</v>
      </c>
      <c r="H16" s="18" t="s">
        <v>78</v>
      </c>
      <c r="I16" s="18" t="s">
        <v>79</v>
      </c>
      <c r="J16" s="18" t="s">
        <v>80</v>
      </c>
    </row>
    <row r="17" spans="1:2" x14ac:dyDescent="0.3">
      <c r="A17" s="16" t="s">
        <v>55</v>
      </c>
      <c r="B17" s="4">
        <v>5107818</v>
      </c>
    </row>
    <row r="18" spans="1:2" x14ac:dyDescent="0.3">
      <c r="A18" s="16" t="s">
        <v>50</v>
      </c>
      <c r="B18" s="4">
        <v>5418182</v>
      </c>
    </row>
    <row r="19" spans="1:2" x14ac:dyDescent="0.3">
      <c r="A19" s="16" t="s">
        <v>60</v>
      </c>
      <c r="B19" s="4">
        <v>4694418</v>
      </c>
    </row>
    <row r="20" spans="1:2" x14ac:dyDescent="0.3">
      <c r="A20" s="16" t="s">
        <v>45</v>
      </c>
      <c r="B20" s="4">
        <v>3916598</v>
      </c>
    </row>
    <row r="21" spans="1:2" x14ac:dyDescent="0.3">
      <c r="A21" s="16" t="s">
        <v>58</v>
      </c>
      <c r="B21" s="4">
        <v>4283269</v>
      </c>
    </row>
    <row r="22" spans="1:2" x14ac:dyDescent="0.3">
      <c r="A22" s="16" t="s">
        <v>73</v>
      </c>
      <c r="B22" s="4">
        <v>23420285</v>
      </c>
    </row>
    <row r="66" spans="3:7" x14ac:dyDescent="0.3">
      <c r="C66" s="17"/>
      <c r="D66" s="17"/>
      <c r="F66" s="17"/>
      <c r="G66"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C41F-D4A1-4529-B86E-8C95BFEEE9A2}">
  <dimension ref="A1"/>
  <sheetViews>
    <sheetView showGridLines="0" tabSelected="1" workbookViewId="0">
      <selection activeCell="W25" sqref="W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Cleaned Data</vt:lpstr>
      <vt:lpstr>Sales Calculations</vt:lpstr>
      <vt:lpstr>KPI Summary</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Yugaesh S</dc:creator>
  <cp:lastModifiedBy>Yugaesh S</cp:lastModifiedBy>
  <cp:lastPrinted>2026-04-14T05:48:36Z</cp:lastPrinted>
  <dcterms:created xsi:type="dcterms:W3CDTF">2026-04-14T05:04:09Z</dcterms:created>
  <dcterms:modified xsi:type="dcterms:W3CDTF">2026-04-14T15:13:04Z</dcterms:modified>
</cp:coreProperties>
</file>